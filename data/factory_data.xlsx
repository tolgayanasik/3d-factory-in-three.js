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ettings" state="visible" r:id="rId5"/>
    <sheet sheetId="3" name="Equipment" state="visible" r:id="rId6"/>
    <sheet sheetId="4" name="MES" state="visible" r:id="rId7"/>
    <sheet sheetId="5" name="Specs" state="visible" r:id="rId8"/>
    <sheet sheetId="6" name="Product BOM" state="visible" r:id="rId9"/>
    <sheet sheetId="7" name="Product Routing" state="visible" r:id="rId10"/>
    <sheet sheetId="8" name="Alarm Catalogue" state="visible" r:id="rId11"/>
  </sheets>
  <calcPr calcId="171027"/>
</workbook>
</file>

<file path=xl/sharedStrings.xml><?xml version="1.0" encoding="utf-8"?>
<sst xmlns="http://schemas.openxmlformats.org/spreadsheetml/2006/main" count="3948" uniqueCount="989">
  <si>
    <t>NEXUS Plant 01 – Digital Twin data link</t>
  </si>
  <si>
    <t>This workbook is the data source of the 3D factory digital twin (MES integration mock-up).</t>
  </si>
  <si>
    <t/>
  </si>
  <si>
    <t>HOW IT WORKS</t>
  </si>
  <si>
    <t>1. Start the twin with "npm start". The local dev server watches this file (data/factory_data.xlsx).</t>
  </si>
  <si>
    <t>2. Edit any yellow cell (e.g. Status, Availability %, Actual Rate) and SAVE the workbook (Ctrl+S).</t>
  </si>
  <si>
    <t>3. The server re-reads the file and pushes the new values to the browser over a WebSocket – the 3D view updates within ~1 s.</t>
  </si>
  <si>
    <t>SHEETS</t>
  </si>
  <si>
    <t>Settings – plant name, simulation on/off, simulation speed and random event rate.</t>
  </si>
  <si>
    <t>Equipment – master data (name, category, zone, manufacturer, model …). The ID column links rows to the 3D model.</t>
  </si>
  <si>
    <t>MES – live KPIs per equipment. Status values: Running, Idle, Setup, Down, Maintenance, Offline. OEE % is a formula (A × P × Q).</t>
  </si>
  <si>
    <t>Specs – technical specification, one row per parameter (ID, Group, Parameter, Value, Unit). Add rows freely.</t>
  </si>
  <si>
    <t>Product BOM / Product Routing – the EB-200 product flow shown in the "Product flow" panel.</t>
  </si>
  <si>
    <t>Alarm Catalogue – alarm codes used by the live simulation when it generates random stops.</t>
  </si>
  <si>
    <t>TIPS</t>
  </si>
  <si>
    <t>• Set Status to "Down" and type an Active Alarm Code/Text – the machine stops, its beacon turns red and an alarm appears in the twin.</t>
  </si>
  <si>
    <t>• Set Simulation Enabled = No in Settings to freeze the twin exactly on the sheet values.</t>
  </si>
  <si>
    <t>• Cycle time changes the animation speed: a lower Actual Cycle makes the machine animate faster.</t>
  </si>
  <si>
    <t>• Do not rename the ID values – they are the keys to the 3D objects.</t>
  </si>
  <si>
    <t>Key</t>
  </si>
  <si>
    <t>Value</t>
  </si>
  <si>
    <t>Description</t>
  </si>
  <si>
    <t>Plant Name</t>
  </si>
  <si>
    <t>NEXUS Plant 01</t>
  </si>
  <si>
    <t>Shown in the top bar</t>
  </si>
  <si>
    <t>Simulation Enabled</t>
  </si>
  <si>
    <t>Yes</t>
  </si>
  <si>
    <t>Yes = live MES simulation runs on top of the sheet values</t>
  </si>
  <si>
    <t>Simulation Speed</t>
  </si>
  <si>
    <t>Time multiplier for counters and animations (0.25 - 4)</t>
  </si>
  <si>
    <t>Random Event Rate</t>
  </si>
  <si>
    <t>Relative frequency of simulated stops / alarms (0 = none)</t>
  </si>
  <si>
    <t>Shift</t>
  </si>
  <si>
    <t>Early shift 06:00 - 14:00</t>
  </si>
  <si>
    <t>Shift Target (pcs)</t>
  </si>
  <si>
    <t>EB-200 target for the shift</t>
  </si>
  <si>
    <t>ID</t>
  </si>
  <si>
    <t>Name</t>
  </si>
  <si>
    <t>Category</t>
  </si>
  <si>
    <t>Zone</t>
  </si>
  <si>
    <t>Type</t>
  </si>
  <si>
    <t>Parent</t>
  </si>
  <si>
    <t>Manufacturer</t>
  </si>
  <si>
    <t>Model</t>
  </si>
  <si>
    <t>Serial No.</t>
  </si>
  <si>
    <t>Year</t>
  </si>
  <si>
    <t>Drawing No.</t>
  </si>
  <si>
    <t>IMM-01</t>
  </si>
  <si>
    <t>Injection Moulding Machine 1</t>
  </si>
  <si>
    <t>Plastic Injection</t>
  </si>
  <si>
    <t>Injection Moulding Hall</t>
  </si>
  <si>
    <t>imm</t>
  </si>
  <si>
    <t>Kraussfeld Plastics</t>
  </si>
  <si>
    <t>KX-350 e-Drive</t>
  </si>
  <si>
    <t>SN-IMM01-41017</t>
  </si>
  <si>
    <t>DT-IMM-01-001</t>
  </si>
  <si>
    <t>ROB-P01</t>
  </si>
  <si>
    <t>Take-out Robot IMM 1</t>
  </si>
  <si>
    <t>Industrial Robots</t>
  </si>
  <si>
    <t>picker</t>
  </si>
  <si>
    <t>Orion Robotics</t>
  </si>
  <si>
    <t>LX-3 Linear Picker</t>
  </si>
  <si>
    <t>SN-ROBP01-41034</t>
  </si>
  <si>
    <t>DT-ROB-P01-001</t>
  </si>
  <si>
    <t>CNV-P01</t>
  </si>
  <si>
    <t>IMM 1 Outfeed Conveyor</t>
  </si>
  <si>
    <t>Conveyors</t>
  </si>
  <si>
    <t>conveyor</t>
  </si>
  <si>
    <t>Transflex</t>
  </si>
  <si>
    <t>TF-B400 Belt</t>
  </si>
  <si>
    <t>SN-CNVP01-41051</t>
  </si>
  <si>
    <t>DT-CNV-P01-001</t>
  </si>
  <si>
    <t>IMM-02</t>
  </si>
  <si>
    <t>Injection Moulding Machine 2</t>
  </si>
  <si>
    <t>SN-IMM02-41068</t>
  </si>
  <si>
    <t>DT-IMM-02-001</t>
  </si>
  <si>
    <t>ROB-P02</t>
  </si>
  <si>
    <t>Take-out Robot IMM 2</t>
  </si>
  <si>
    <t>SN-ROBP02-41085</t>
  </si>
  <si>
    <t>DT-ROB-P02-001</t>
  </si>
  <si>
    <t>CNV-P02</t>
  </si>
  <si>
    <t>IMM 2 Outfeed Conveyor</t>
  </si>
  <si>
    <t>SN-CNVP02-41102</t>
  </si>
  <si>
    <t>DT-CNV-P02-001</t>
  </si>
  <si>
    <t>IMM-03</t>
  </si>
  <si>
    <t>Injection Moulding Machine 3</t>
  </si>
  <si>
    <t>KX-500 e-Drive</t>
  </si>
  <si>
    <t>SN-IMM03-41119</t>
  </si>
  <si>
    <t>DT-IMM-03-001</t>
  </si>
  <si>
    <t>ROB-P03</t>
  </si>
  <si>
    <t>Take-out Robot IMM 3</t>
  </si>
  <si>
    <t>SN-ROBP03-41136</t>
  </si>
  <si>
    <t>DT-ROB-P03-001</t>
  </si>
  <si>
    <t>CNV-P03</t>
  </si>
  <si>
    <t>IMM 3 Outfeed Conveyor</t>
  </si>
  <si>
    <t>SN-CNVP03-41153</t>
  </si>
  <si>
    <t>DT-CNV-P03-001</t>
  </si>
  <si>
    <t>IMM-04</t>
  </si>
  <si>
    <t>Injection Moulding Machine 4</t>
  </si>
  <si>
    <t>SN-IMM04-41170</t>
  </si>
  <si>
    <t>DT-IMM-04-001</t>
  </si>
  <si>
    <t>ROB-P04</t>
  </si>
  <si>
    <t>Take-out Robot IMM 4</t>
  </si>
  <si>
    <t>SN-ROBP04-41187</t>
  </si>
  <si>
    <t>DT-ROB-P04-001</t>
  </si>
  <si>
    <t>CNV-P04</t>
  </si>
  <si>
    <t>IMM 4 Outfeed Conveyor</t>
  </si>
  <si>
    <t>SN-CNVP04-41204</t>
  </si>
  <si>
    <t>DT-CNV-P04-001</t>
  </si>
  <si>
    <t>DRY-01</t>
  </si>
  <si>
    <t>Central Material Dryer &amp; Loader</t>
  </si>
  <si>
    <t>dryer</t>
  </si>
  <si>
    <t>Polydry Systems</t>
  </si>
  <si>
    <t>PD-800 Central</t>
  </si>
  <si>
    <t>SN-DRY01-41221</t>
  </si>
  <si>
    <t>DT-DRY-01-001</t>
  </si>
  <si>
    <t>LAS-01</t>
  </si>
  <si>
    <t>Fiber Laser Cutter 1</t>
  </si>
  <si>
    <t>Metal Cutting</t>
  </si>
  <si>
    <t>Sheet Metal Shop</t>
  </si>
  <si>
    <t>laser</t>
  </si>
  <si>
    <t>Lumatek</t>
  </si>
  <si>
    <t>FiberCut 3015 / 6 kW</t>
  </si>
  <si>
    <t>SN-LAS01-41238</t>
  </si>
  <si>
    <t>DT-LAS-01-001</t>
  </si>
  <si>
    <t>STW-01</t>
  </si>
  <si>
    <t>Sheet Storage Tower 1</t>
  </si>
  <si>
    <t>tower</t>
  </si>
  <si>
    <t>LiftMaster Tower 3015-12</t>
  </si>
  <si>
    <t>SN-STW01-41255</t>
  </si>
  <si>
    <t>DT-STW-01-001</t>
  </si>
  <si>
    <t>LAS-02</t>
  </si>
  <si>
    <t>Fiber Laser Cutter 2</t>
  </si>
  <si>
    <t>FiberCut 3015 / 12 kW</t>
  </si>
  <si>
    <t>SN-LAS02-41272</t>
  </si>
  <si>
    <t>DT-LAS-02-001</t>
  </si>
  <si>
    <t>STW-02</t>
  </si>
  <si>
    <t>Sheet Storage Tower 2</t>
  </si>
  <si>
    <t>SN-STW02-41289</t>
  </si>
  <si>
    <t>DT-STW-02-001</t>
  </si>
  <si>
    <t>PBR-01</t>
  </si>
  <si>
    <t>CNC Press Brake 1</t>
  </si>
  <si>
    <t>Metal Bending</t>
  </si>
  <si>
    <t>pressbrake</t>
  </si>
  <si>
    <t>Bendmaster</t>
  </si>
  <si>
    <t>HB-2203 Hybrid</t>
  </si>
  <si>
    <t>SN-PBR01-41306</t>
  </si>
  <si>
    <t>DT-PBR-01-001</t>
  </si>
  <si>
    <t>ROB-B01</t>
  </si>
  <si>
    <t>Bending Robot 1</t>
  </si>
  <si>
    <t>robot</t>
  </si>
  <si>
    <t>OR-165/2.7</t>
  </si>
  <si>
    <t>SN-ROBB01-41323</t>
  </si>
  <si>
    <t>DT-ROB-B01-001</t>
  </si>
  <si>
    <t>PBR-02</t>
  </si>
  <si>
    <t>CNC Press Brake 2</t>
  </si>
  <si>
    <t>SN-PBR02-41340</t>
  </si>
  <si>
    <t>DT-PBR-02-001</t>
  </si>
  <si>
    <t>ROB-B02</t>
  </si>
  <si>
    <t>Bending Robot 2</t>
  </si>
  <si>
    <t>SN-ROBB02-41357</t>
  </si>
  <si>
    <t>DT-ROB-B02-001</t>
  </si>
  <si>
    <t>HPR-01</t>
  </si>
  <si>
    <t>Hydraulic Press 400 t</t>
  </si>
  <si>
    <t>Metal Pressing</t>
  </si>
  <si>
    <t>hydpress</t>
  </si>
  <si>
    <t>Hydrotek</t>
  </si>
  <si>
    <t>HP-400 4-Column</t>
  </si>
  <si>
    <t>SN-HPR01-41374</t>
  </si>
  <si>
    <t>DT-HPR-01-001</t>
  </si>
  <si>
    <t>ROB-H01</t>
  </si>
  <si>
    <t>Press Tending Robot</t>
  </si>
  <si>
    <t>OR-70/2.1</t>
  </si>
  <si>
    <t>SN-ROBH01-41391</t>
  </si>
  <si>
    <t>DT-ROB-H01-001</t>
  </si>
  <si>
    <t>SPR-01</t>
  </si>
  <si>
    <t>Servo Press Line 250 t</t>
  </si>
  <si>
    <t>servopress</t>
  </si>
  <si>
    <t>Servomatic</t>
  </si>
  <si>
    <t>SP-250 + CoilPro 600</t>
  </si>
  <si>
    <t>SN-SPR01-41408</t>
  </si>
  <si>
    <t>DT-SPR-01-001</t>
  </si>
  <si>
    <t>CNV-M01</t>
  </si>
  <si>
    <t>Metal Parts Outfeed Conveyor</t>
  </si>
  <si>
    <t>TF-R600 Roller</t>
  </si>
  <si>
    <t>SN-CNVM01-41425</t>
  </si>
  <si>
    <t>DT-CNV-M01-001</t>
  </si>
  <si>
    <t>BCR-01</t>
  </si>
  <si>
    <t>Overhead Bridge Crane 10 t</t>
  </si>
  <si>
    <t>Material Handling</t>
  </si>
  <si>
    <t>crane</t>
  </si>
  <si>
    <t>Liftcore</t>
  </si>
  <si>
    <t>LC-D10 Double Girder</t>
  </si>
  <si>
    <t>SN-BCR01-41442</t>
  </si>
  <si>
    <t>DT-BCR-01-001</t>
  </si>
  <si>
    <t>RCK-01</t>
  </si>
  <si>
    <t>AS/RS High-Bay Rack</t>
  </si>
  <si>
    <t>AS/RS</t>
  </si>
  <si>
    <t>Central AS/RS</t>
  </si>
  <si>
    <t>rack</t>
  </si>
  <si>
    <t>Stakra</t>
  </si>
  <si>
    <t>HBR-3A Mini-load</t>
  </si>
  <si>
    <t>SN-RCK01-41459</t>
  </si>
  <si>
    <t>DT-RCK-01-001</t>
  </si>
  <si>
    <t>SRM-01</t>
  </si>
  <si>
    <t>Stacker Crane Aisle 1</t>
  </si>
  <si>
    <t>srm</t>
  </si>
  <si>
    <t>SRM-S Single Mast</t>
  </si>
  <si>
    <t>SN-SRM01-41476</t>
  </si>
  <si>
    <t>DT-SRM-01-001</t>
  </si>
  <si>
    <t>SRM-02</t>
  </si>
  <si>
    <t>Stacker Crane Aisle 2</t>
  </si>
  <si>
    <t>SN-SRM02-41493</t>
  </si>
  <si>
    <t>DT-SRM-02-001</t>
  </si>
  <si>
    <t>SRM-03</t>
  </si>
  <si>
    <t>Stacker Crane Aisle 3</t>
  </si>
  <si>
    <t>SN-SRM03-41510</t>
  </si>
  <si>
    <t>DT-SRM-03-001</t>
  </si>
  <si>
    <t>CNV-A01</t>
  </si>
  <si>
    <t>AS/RS I/O Conveyor System</t>
  </si>
  <si>
    <t>asrsio</t>
  </si>
  <si>
    <t>TF-C1000 Chain/Roller</t>
  </si>
  <si>
    <t>SN-CNVA01-41527</t>
  </si>
  <si>
    <t>DT-CNV-A01-001</t>
  </si>
  <si>
    <t>AGV-01</t>
  </si>
  <si>
    <t>Tote AGV 1</t>
  </si>
  <si>
    <t>AGV Fleet</t>
  </si>
  <si>
    <t>Logistics</t>
  </si>
  <si>
    <t>agv</t>
  </si>
  <si>
    <t>Movix</t>
  </si>
  <si>
    <t>MX-1000 Roller-top AMR</t>
  </si>
  <si>
    <t>SN-AGV01-41544</t>
  </si>
  <si>
    <t>DT-AGV-01-001</t>
  </si>
  <si>
    <t>AGV-02</t>
  </si>
  <si>
    <t>Tote AGV 2</t>
  </si>
  <si>
    <t>SN-AGV02-41561</t>
  </si>
  <si>
    <t>DT-AGV-02-001</t>
  </si>
  <si>
    <t>AGV-03</t>
  </si>
  <si>
    <t>Tote AGV 3</t>
  </si>
  <si>
    <t>SN-AGV03-41578</t>
  </si>
  <si>
    <t>DT-AGV-03-001</t>
  </si>
  <si>
    <t>AGV-04</t>
  </si>
  <si>
    <t>Tote AGV 4</t>
  </si>
  <si>
    <t>SN-AGV04-41595</t>
  </si>
  <si>
    <t>DT-AGV-04-001</t>
  </si>
  <si>
    <t>AGV-05</t>
  </si>
  <si>
    <t>Tote AGV 5</t>
  </si>
  <si>
    <t>SN-AGV05-41612</t>
  </si>
  <si>
    <t>DT-AGV-05-001</t>
  </si>
  <si>
    <t>AGV-06</t>
  </si>
  <si>
    <t>Autonomous Forklift AGV 6</t>
  </si>
  <si>
    <t>forklift</t>
  </si>
  <si>
    <t>FX-1500 Autonomous Forklift</t>
  </si>
  <si>
    <t>SN-AGV06-41629</t>
  </si>
  <si>
    <t>DT-AGV-06-001</t>
  </si>
  <si>
    <t>CHG-01</t>
  </si>
  <si>
    <t>AGV Charging Station 1</t>
  </si>
  <si>
    <t>charger</t>
  </si>
  <si>
    <t>MC-300 Floor Charger</t>
  </si>
  <si>
    <t>SN-CHG01-41646</t>
  </si>
  <si>
    <t>DT-CHG-01-001</t>
  </si>
  <si>
    <t>CHG-02</t>
  </si>
  <si>
    <t>AGV Charging Station 2</t>
  </si>
  <si>
    <t>SN-CHG02-41663</t>
  </si>
  <si>
    <t>DT-CHG-02-001</t>
  </si>
  <si>
    <t>CHG-03</t>
  </si>
  <si>
    <t>AGV Charging Station 3</t>
  </si>
  <si>
    <t>SN-CHG03-41680</t>
  </si>
  <si>
    <t>DT-CHG-03-001</t>
  </si>
  <si>
    <t>CNV-L01</t>
  </si>
  <si>
    <t>Assembly Pallet Transfer Loop</t>
  </si>
  <si>
    <t>Assembly Hall</t>
  </si>
  <si>
    <t>loop</t>
  </si>
  <si>
    <t>TS-2 Twin-belt Transfer</t>
  </si>
  <si>
    <t>SN-CNVL01-41697</t>
  </si>
  <si>
    <t>DT-CNV-L01-001</t>
  </si>
  <si>
    <t>CNV-L03</t>
  </si>
  <si>
    <t>Kit Infeed Conveyor</t>
  </si>
  <si>
    <t>SN-CNVL03-41714</t>
  </si>
  <si>
    <t>DT-CNV-L03-001</t>
  </si>
  <si>
    <t>CNV-L02</t>
  </si>
  <si>
    <t>Carton Exit Conveyor</t>
  </si>
  <si>
    <t>TF-B600 Belt</t>
  </si>
  <si>
    <t>SN-CNVL02-41731</t>
  </si>
  <si>
    <t>DT-CNV-L02-001</t>
  </si>
  <si>
    <t>ASM-01</t>
  </si>
  <si>
    <t>Station 1 – Housing Load</t>
  </si>
  <si>
    <t>Assembly Line</t>
  </si>
  <si>
    <t>station</t>
  </si>
  <si>
    <t>NEXUS Automation (in-house)</t>
  </si>
  <si>
    <t>AS-201 Cell</t>
  </si>
  <si>
    <t>SN-ASM01-41748</t>
  </si>
  <si>
    <t>DT-ASM-01-001</t>
  </si>
  <si>
    <t>ROB-A01</t>
  </si>
  <si>
    <t>Assembly Robot – S1</t>
  </si>
  <si>
    <t>OR-20/1.8</t>
  </si>
  <si>
    <t>SN-ROBA01-41765</t>
  </si>
  <si>
    <t>DT-ROB-A01-001</t>
  </si>
  <si>
    <t>ASM-02</t>
  </si>
  <si>
    <t>Station 2 – DIN Rail &amp; Component Insertion</t>
  </si>
  <si>
    <t>AS-202 Cell</t>
  </si>
  <si>
    <t>SN-ASM02-41782</t>
  </si>
  <si>
    <t>DT-ASM-02-001</t>
  </si>
  <si>
    <t>ROB-A02</t>
  </si>
  <si>
    <t>SCARA Robot – S2</t>
  </si>
  <si>
    <t>scara</t>
  </si>
  <si>
    <t>SR-6/600 SCARA</t>
  </si>
  <si>
    <t>SN-ROBA02-41799</t>
  </si>
  <si>
    <t>DT-ROB-A02-001</t>
  </si>
  <si>
    <t>ASM-03</t>
  </si>
  <si>
    <t>Station 3 – Front Cover Placement</t>
  </si>
  <si>
    <t>AS-203 Cell</t>
  </si>
  <si>
    <t>SN-ASM03-41816</t>
  </si>
  <si>
    <t>DT-ASM-03-001</t>
  </si>
  <si>
    <t>ROB-A03</t>
  </si>
  <si>
    <t>Assembly Robot – S3</t>
  </si>
  <si>
    <t>SN-ROBA03-41833</t>
  </si>
  <si>
    <t>DT-ROB-A03-001</t>
  </si>
  <si>
    <t>ASM-04</t>
  </si>
  <si>
    <t>Station 4 – Automatic Screwdriving</t>
  </si>
  <si>
    <t>AS-204 Cell</t>
  </si>
  <si>
    <t>SN-ASM04-41850</t>
  </si>
  <si>
    <t>DT-ASM-04-001</t>
  </si>
  <si>
    <t>ASM-05</t>
  </si>
  <si>
    <t>Station 5 – Vision Inspection</t>
  </si>
  <si>
    <t>Quality &amp; Inspection</t>
  </si>
  <si>
    <t>Optivis</t>
  </si>
  <si>
    <t>OV-Tunnel 4 Cam</t>
  </si>
  <si>
    <t>SN-ASM05-41867</t>
  </si>
  <si>
    <t>DT-ASM-05-001</t>
  </si>
  <si>
    <t>ASM-06</t>
  </si>
  <si>
    <t>Station 6 – Laser Marking &amp; Labelling</t>
  </si>
  <si>
    <t>AS-206 Cell</t>
  </si>
  <si>
    <t>SN-ASM06-41884</t>
  </si>
  <si>
    <t>DT-ASM-06-001</t>
  </si>
  <si>
    <t>COB-01</t>
  </si>
  <si>
    <t>Collaborative Robot – S6</t>
  </si>
  <si>
    <t>Nimbus Cobotics</t>
  </si>
  <si>
    <t>NC-10 Cobot</t>
  </si>
  <si>
    <t>SN-COB01-41901</t>
  </si>
  <si>
    <t>DT-COB-01-001</t>
  </si>
  <si>
    <t>ASM-07</t>
  </si>
  <si>
    <t>Station 7 – Unload &amp; Cartoning</t>
  </si>
  <si>
    <t>AS-207 Cell</t>
  </si>
  <si>
    <t>SN-ASM07-41918</t>
  </si>
  <si>
    <t>DT-ASM-07-001</t>
  </si>
  <si>
    <t>ROB-A04</t>
  </si>
  <si>
    <t>Assembly Robot – S7</t>
  </si>
  <si>
    <t>SN-ROBA04-41935</t>
  </si>
  <si>
    <t>DT-ROB-A04-001</t>
  </si>
  <si>
    <t>PAL-01</t>
  </si>
  <si>
    <t>Palletizing Robot</t>
  </si>
  <si>
    <t>Packaging &amp; EOL</t>
  </si>
  <si>
    <t>OR-P180 Palletizer</t>
  </si>
  <si>
    <t>SN-PAL01-41952</t>
  </si>
  <si>
    <t>DT-PAL-01-001</t>
  </si>
  <si>
    <t>SWR-01</t>
  </si>
  <si>
    <t>Turntable Stretch Wrapper</t>
  </si>
  <si>
    <t>wrapper</t>
  </si>
  <si>
    <t>Wrapline</t>
  </si>
  <si>
    <t>WL-T2000</t>
  </si>
  <si>
    <t>SN-SWR01-41969</t>
  </si>
  <si>
    <t>DT-SWR-01-001</t>
  </si>
  <si>
    <t>CMM-01</t>
  </si>
  <si>
    <t>Coordinate Measuring Machine</t>
  </si>
  <si>
    <t>Quality Lab</t>
  </si>
  <si>
    <t>cmm</t>
  </si>
  <si>
    <t>Metrios</t>
  </si>
  <si>
    <t>Accura 12.10.8</t>
  </si>
  <si>
    <t>SN-CMM01-41986</t>
  </si>
  <si>
    <t>DT-CMM-01-001</t>
  </si>
  <si>
    <t>CMP-01</t>
  </si>
  <si>
    <t>Screw Air Compressor 1</t>
  </si>
  <si>
    <t>Utilities</t>
  </si>
  <si>
    <t>compressor</t>
  </si>
  <si>
    <t>Aerodyne</t>
  </si>
  <si>
    <t>AD-110 VSD</t>
  </si>
  <si>
    <t>SN-CMP01-42003</t>
  </si>
  <si>
    <t>DT-CMP-01-001</t>
  </si>
  <si>
    <t>CMP-02</t>
  </si>
  <si>
    <t>Screw Air Compressor 2</t>
  </si>
  <si>
    <t>SN-CMP02-42020</t>
  </si>
  <si>
    <t>DT-CMP-02-001</t>
  </si>
  <si>
    <t>CHL-01</t>
  </si>
  <si>
    <t>Process Water Chiller</t>
  </si>
  <si>
    <t>chiller</t>
  </si>
  <si>
    <t>Frigotherm</t>
  </si>
  <si>
    <t>FT-420 Free-cooling</t>
  </si>
  <si>
    <t>SN-CHL01-42037</t>
  </si>
  <si>
    <t>DT-CHL-01-001</t>
  </si>
  <si>
    <t>TRF-01</t>
  </si>
  <si>
    <t>Transformer &amp; MV Switchgear</t>
  </si>
  <si>
    <t>transformer</t>
  </si>
  <si>
    <t>Voltara</t>
  </si>
  <si>
    <t>VT-2500 Cast Resin</t>
  </si>
  <si>
    <t>SN-TRF01-42054</t>
  </si>
  <si>
    <t>DT-TRF-01-001</t>
  </si>
  <si>
    <t>Status</t>
  </si>
  <si>
    <t>Work Order</t>
  </si>
  <si>
    <t>Part / Activity</t>
  </si>
  <si>
    <t>Availability %</t>
  </si>
  <si>
    <t>Performance %</t>
  </si>
  <si>
    <t>Quality %</t>
  </si>
  <si>
    <t>OEE %</t>
  </si>
  <si>
    <t>Target Rate (pcs/h)</t>
  </si>
  <si>
    <t>Actual Rate (pcs/h)</t>
  </si>
  <si>
    <t>Ideal Cycle (s)</t>
  </si>
  <si>
    <t>Actual Cycle (s)</t>
  </si>
  <si>
    <t>Good Count (shift)</t>
  </si>
  <si>
    <t>Scrap Count (shift)</t>
  </si>
  <si>
    <t>MTBF (h)</t>
  </si>
  <si>
    <t>MTTR (min)</t>
  </si>
  <si>
    <t>Power (kW)</t>
  </si>
  <si>
    <t>Energy Today (kWh)</t>
  </si>
  <si>
    <t>Battery %</t>
  </si>
  <si>
    <t>Operator</t>
  </si>
  <si>
    <t>Last Maintenance</t>
  </si>
  <si>
    <t>Next Maintenance</t>
  </si>
  <si>
    <t>Active Alarm Code</t>
  </si>
  <si>
    <t>Active Alarm Text</t>
  </si>
  <si>
    <t>Running</t>
  </si>
  <si>
    <t>WO-24-1181</t>
  </si>
  <si>
    <t>PC-2001 EB-200 Front Cover</t>
  </si>
  <si>
    <t>J. Novak</t>
  </si>
  <si>
    <t>2026-08-14</t>
  </si>
  <si>
    <t>2026-10-14</t>
  </si>
  <si>
    <t>WO-24-1187</t>
  </si>
  <si>
    <t>PC-2001</t>
  </si>
  <si>
    <t>Auto</t>
  </si>
  <si>
    <t>WO-24-1182</t>
  </si>
  <si>
    <t>WO-24-1183</t>
  </si>
  <si>
    <t>PC-2014 EB-200 Gland Plate</t>
  </si>
  <si>
    <t>A. Rossi</t>
  </si>
  <si>
    <t>PC-2014</t>
  </si>
  <si>
    <t>WO-24-1184</t>
  </si>
  <si>
    <t>PC-2022 EB-200 Terminal Carrier</t>
  </si>
  <si>
    <t>PC-2022</t>
  </si>
  <si>
    <t>PC/ABS + PA6-GF30 granulate</t>
  </si>
  <si>
    <t>WO-24-1191</t>
  </si>
  <si>
    <t>SM-3105 Housing blank</t>
  </si>
  <si>
    <t>M. Keller</t>
  </si>
  <si>
    <t>SM-3105 Housing (bent)</t>
  </si>
  <si>
    <t>SM-3105</t>
  </si>
  <si>
    <t>SM-3105 Housing (finished)</t>
  </si>
  <si>
    <t>SM-2240 DIN rail 35x7.5</t>
  </si>
  <si>
    <t>S. Demir</t>
  </si>
  <si>
    <t>Idle</t>
  </si>
  <si>
    <t>Occupancy (%)</t>
  </si>
  <si>
    <t>Inbound: plastic parts</t>
  </si>
  <si>
    <t>Inbound: metal housings</t>
  </si>
  <si>
    <t>Outbound: assembly kits</t>
  </si>
  <si>
    <t>Transport</t>
  </si>
  <si>
    <t>Plastic parts → AS/RS</t>
  </si>
  <si>
    <t>Metal parts → AS/RS</t>
  </si>
  <si>
    <t>Kits AS/RS → Assembly</t>
  </si>
  <si>
    <t>Empty totes → Moulding</t>
  </si>
  <si>
    <t>Pallets EOL → Shipping</t>
  </si>
  <si>
    <t>EB-200</t>
  </si>
  <si>
    <t>WO-24-1204</t>
  </si>
  <si>
    <t>L. Chen</t>
  </si>
  <si>
    <t>EB-200 carton (1 pc)</t>
  </si>
  <si>
    <t>EB-200 pallet (12 pcs)</t>
  </si>
  <si>
    <t>First article: SM-3105 / PC-2001</t>
  </si>
  <si>
    <t>P. Laine</t>
  </si>
  <si>
    <t>Compressed air</t>
  </si>
  <si>
    <t>Process water 12 °C</t>
  </si>
  <si>
    <t>Plant load (kW)</t>
  </si>
  <si>
    <t>Group</t>
  </si>
  <si>
    <t>Parameter</t>
  </si>
  <si>
    <t>Unit</t>
  </si>
  <si>
    <t>General</t>
  </si>
  <si>
    <t>Clamping force</t>
  </si>
  <si>
    <t>kN</t>
  </si>
  <si>
    <t>Drive concept</t>
  </si>
  <si>
    <t>All-electric servo</t>
  </si>
  <si>
    <t>Machine weight</t>
  </si>
  <si>
    <t>t</t>
  </si>
  <si>
    <t>Footprint (L x W x H)</t>
  </si>
  <si>
    <t>8.0 x 2.0 x 2.4</t>
  </si>
  <si>
    <t>m</t>
  </si>
  <si>
    <t>Clamping unit</t>
  </si>
  <si>
    <t>Opening stroke</t>
  </si>
  <si>
    <t>mm</t>
  </si>
  <si>
    <t>Distance between tie bars</t>
  </si>
  <si>
    <t>710 x 710</t>
  </si>
  <si>
    <t>Platen size</t>
  </si>
  <si>
    <t>1020 x 1020</t>
  </si>
  <si>
    <t>Min / max mould height</t>
  </si>
  <si>
    <t>300 / 700</t>
  </si>
  <si>
    <t>Injection unit</t>
  </si>
  <si>
    <t>Screw diameter</t>
  </si>
  <si>
    <t>Shot volume</t>
  </si>
  <si>
    <t>cm³</t>
  </si>
  <si>
    <t>Injection pressure</t>
  </si>
  <si>
    <t>bar</t>
  </si>
  <si>
    <t>Injection speed</t>
  </si>
  <si>
    <t>mm/s</t>
  </si>
  <si>
    <t>Heating zones</t>
  </si>
  <si>
    <t>Electrical</t>
  </si>
  <si>
    <t>Connected load</t>
  </si>
  <si>
    <t>kW</t>
  </si>
  <si>
    <t>Heater power</t>
  </si>
  <si>
    <t>Process</t>
  </si>
  <si>
    <t>Material</t>
  </si>
  <si>
    <t>PC/ABS V0, grey RAL7035</t>
  </si>
  <si>
    <t>Mould</t>
  </si>
  <si>
    <t>M-PC-2001-4K</t>
  </si>
  <si>
    <t>Cavities</t>
  </si>
  <si>
    <t>Barrel temperature</t>
  </si>
  <si>
    <t>°C</t>
  </si>
  <si>
    <t>Mould temperature</t>
  </si>
  <si>
    <t>Controls</t>
  </si>
  <si>
    <t>Controller</t>
  </si>
  <si>
    <t>KX-Control 7 / OPC UA (EUROMAP 77)</t>
  </si>
  <si>
    <t>Kinematics</t>
  </si>
  <si>
    <t>3-axis Cartesian (servo) + pneumatic wrist</t>
  </si>
  <si>
    <t>Payload</t>
  </si>
  <si>
    <t>kg</t>
  </si>
  <si>
    <t>Strokes</t>
  </si>
  <si>
    <t>Traverse (Z)</t>
  </si>
  <si>
    <t>Demould (X)</t>
  </si>
  <si>
    <t>Vertical (Y)</t>
  </si>
  <si>
    <t>Performance</t>
  </si>
  <si>
    <t>Max. speed traverse</t>
  </si>
  <si>
    <t>m/s</t>
  </si>
  <si>
    <t>Min. take-out time</t>
  </si>
  <si>
    <t>s</t>
  </si>
  <si>
    <t>Tooling</t>
  </si>
  <si>
    <t>End-of-arm tool</t>
  </si>
  <si>
    <t>Vacuum gripper 4x Ø40 + sprue gripper</t>
  </si>
  <si>
    <t>Supply</t>
  </si>
  <si>
    <t>3x400 V / 50 Hz, 3.5 kVA</t>
  </si>
  <si>
    <t>Interface</t>
  </si>
  <si>
    <t>IMM interface</t>
  </si>
  <si>
    <t>EUROMAP 67</t>
  </si>
  <si>
    <t>Flat belt conveyor, cleated PU belt</t>
  </si>
  <si>
    <t>Length</t>
  </si>
  <si>
    <t>Belt width</t>
  </si>
  <si>
    <t>Drive</t>
  </si>
  <si>
    <t>Motor</t>
  </si>
  <si>
    <t>0.55 kW geared motor + VFD</t>
  </si>
  <si>
    <t>Belt speed</t>
  </si>
  <si>
    <t>5 - 25</t>
  </si>
  <si>
    <t>m/min</t>
  </si>
  <si>
    <t>Options</t>
  </si>
  <si>
    <t>Cooling</t>
  </si>
  <si>
    <t>Part cooling fan tunnel (2 m)</t>
  </si>
  <si>
    <t>End of line</t>
  </si>
  <si>
    <t>Tote filling station with weight check</t>
  </si>
  <si>
    <t>9.0 x 2.2 x 2.6</t>
  </si>
  <si>
    <t>820 x 820</t>
  </si>
  <si>
    <t>1180 x 1180</t>
  </si>
  <si>
    <t>350 / 800</t>
  </si>
  <si>
    <t>PA6-GF30, black</t>
  </si>
  <si>
    <t>M-PC-2014-2K</t>
  </si>
  <si>
    <t>M-PC-2022-2K</t>
  </si>
  <si>
    <t>Dryer type</t>
  </si>
  <si>
    <t>Desiccant wheel dry-air dryer</t>
  </si>
  <si>
    <t>Drying hoppers</t>
  </si>
  <si>
    <t>4 x 300 L</t>
  </si>
  <si>
    <t>Throughput</t>
  </si>
  <si>
    <t>kg/h</t>
  </si>
  <si>
    <t>Dew point</t>
  </si>
  <si>
    <t>Drying temperature</t>
  </si>
  <si>
    <t>80 - 120</t>
  </si>
  <si>
    <t>Conveying</t>
  </si>
  <si>
    <t>Vacuum loaders</t>
  </si>
  <si>
    <t>Pipe diameter</t>
  </si>
  <si>
    <t>Installed power</t>
  </si>
  <si>
    <t>Working area</t>
  </si>
  <si>
    <t>3050 x 1525</t>
  </si>
  <si>
    <t>Laser source</t>
  </si>
  <si>
    <t>Fiber 6 kW</t>
  </si>
  <si>
    <t>Axes</t>
  </si>
  <si>
    <t>Positioning speed</t>
  </si>
  <si>
    <t>Acceleration</t>
  </si>
  <si>
    <t>g</t>
  </si>
  <si>
    <t>Positioning accuracy</t>
  </si>
  <si>
    <t>±0.03</t>
  </si>
  <si>
    <t>Capacity</t>
  </si>
  <si>
    <t>Mild steel max.</t>
  </si>
  <si>
    <t>Stainless steel max.</t>
  </si>
  <si>
    <t>Aluminium max.</t>
  </si>
  <si>
    <t>Automation</t>
  </si>
  <si>
    <t>Pallet changer</t>
  </si>
  <si>
    <t>Shuttle table, 12 s exchange</t>
  </si>
  <si>
    <t>Assist gas</t>
  </si>
  <si>
    <t>N₂ / O₂ / compressed air</t>
  </si>
  <si>
    <t>kVA</t>
  </si>
  <si>
    <t>Current material</t>
  </si>
  <si>
    <t>DC01 1.5 mm galvanised</t>
  </si>
  <si>
    <t>Drawers</t>
  </si>
  <si>
    <t>Load per drawer</t>
  </si>
  <si>
    <t>Tower height</t>
  </si>
  <si>
    <t>Loader</t>
  </si>
  <si>
    <t>Loading type</t>
  </si>
  <si>
    <t>Suction frame, 28 vacuum cups</t>
  </si>
  <si>
    <t>Load / unload time</t>
  </si>
  <si>
    <t>Stock</t>
  </si>
  <si>
    <t>Current stock</t>
  </si>
  <si>
    <t>2.1 t DC01 1.5 mm</t>
  </si>
  <si>
    <t>Fiber 12 kW</t>
  </si>
  <si>
    <t>Press force</t>
  </si>
  <si>
    <t>Bending length</t>
  </si>
  <si>
    <t>Distance between side frames</t>
  </si>
  <si>
    <t>Controlled axes</t>
  </si>
  <si>
    <t>Y1, Y2, X, R, Z1, Z2 + crowning</t>
  </si>
  <si>
    <t>Ram approach speed</t>
  </si>
  <si>
    <t>Working speed</t>
  </si>
  <si>
    <t>Repeatability</t>
  </si>
  <si>
    <t>±0.005</t>
  </si>
  <si>
    <t>Tool clamping</t>
  </si>
  <si>
    <t>Hydraulic, self-seating</t>
  </si>
  <si>
    <t>Angle measurement</t>
  </si>
  <si>
    <t>Laser angle sensor, both sides</t>
  </si>
  <si>
    <t>Hybrid servo-hydraulic, 2x 11 kW</t>
  </si>
  <si>
    <t>6-axis articulated</t>
  </si>
  <si>
    <t>Max. reach</t>
  </si>
  <si>
    <t>±0.05</t>
  </si>
  <si>
    <t>Robot mass</t>
  </si>
  <si>
    <t>Axis speeds</t>
  </si>
  <si>
    <t>J1 / J2 / J3</t>
  </si>
  <si>
    <t>110 / 110 / 120</t>
  </si>
  <si>
    <t>°/s</t>
  </si>
  <si>
    <t>J4 / J5 / J6</t>
  </si>
  <si>
    <t>170 / 170 / 260</t>
  </si>
  <si>
    <t>OC-5 with SafeMove zones</t>
  </si>
  <si>
    <t>End effector</t>
  </si>
  <si>
    <t>Vacuum gripper frame with regrip station</t>
  </si>
  <si>
    <t>Power consumption (avg.)</t>
  </si>
  <si>
    <t>Nominal force</t>
  </si>
  <si>
    <t>Construction</t>
  </si>
  <si>
    <t>4-column, double acting</t>
  </si>
  <si>
    <t>Bolster area</t>
  </si>
  <si>
    <t>1600 x 1200</t>
  </si>
  <si>
    <t>Daylight</t>
  </si>
  <si>
    <t>Stroke</t>
  </si>
  <si>
    <t>Speeds</t>
  </si>
  <si>
    <t>Rapid advance</t>
  </si>
  <si>
    <t>Pressing</t>
  </si>
  <si>
    <t>Return</t>
  </si>
  <si>
    <t>Hydraulics</t>
  </si>
  <si>
    <t>Pump power</t>
  </si>
  <si>
    <t>Max. pressure</t>
  </si>
  <si>
    <t>Safety</t>
  </si>
  <si>
    <t>Guarding</t>
  </si>
  <si>
    <t>Light curtains cat. 4 + interlocked rear doors</t>
  </si>
  <si>
    <t>Operation</t>
  </si>
  <si>
    <t>Embossing + PEM nut clinching</t>
  </si>
  <si>
    <t>±0.02</t>
  </si>
  <si>
    <t>200 / 200 / 220</t>
  </si>
  <si>
    <t>410 / 410 / 610</t>
  </si>
  <si>
    <t>Twin vacuum gripper</t>
  </si>
  <si>
    <t>Direct servo drive, 2x 180 kNm</t>
  </si>
  <si>
    <t>Strokes per minute</t>
  </si>
  <si>
    <t>10 - 70</t>
  </si>
  <si>
    <t>spm</t>
  </si>
  <si>
    <t>2400 x 1100</t>
  </si>
  <si>
    <t>Coil line</t>
  </si>
  <si>
    <t>Coil weight max.</t>
  </si>
  <si>
    <t>Coil width max.</t>
  </si>
  <si>
    <t>Straightener rolls</t>
  </si>
  <si>
    <t>7 + 2 pinch</t>
  </si>
  <si>
    <t>Feed accuracy</t>
  </si>
  <si>
    <t>Die</t>
  </si>
  <si>
    <t>Progressive die PD-2240 (DIN rail + brackets)</t>
  </si>
  <si>
    <t>Motor-driven roller conveyor (24 V MDR)</t>
  </si>
  <si>
    <t>Roller pitch</t>
  </si>
  <si>
    <t>Zones</t>
  </si>
  <si>
    <t>Speed</t>
  </si>
  <si>
    <t>Logic</t>
  </si>
  <si>
    <t>Zero-pressure accumulation</t>
  </si>
  <si>
    <t>Span</t>
  </si>
  <si>
    <t>Hook height</t>
  </si>
  <si>
    <t>Long travel</t>
  </si>
  <si>
    <t>5 - 40</t>
  </si>
  <si>
    <t>Cross travel</t>
  </si>
  <si>
    <t>3 - 20</t>
  </si>
  <si>
    <t>Hoist</t>
  </si>
  <si>
    <t>0.8 - 5</t>
  </si>
  <si>
    <t>Radio remote + anti-sway</t>
  </si>
  <si>
    <t>Aisles</t>
  </si>
  <si>
    <t>Storage locations</t>
  </si>
  <si>
    <t>Rack height</t>
  </si>
  <si>
    <t>Rack length</t>
  </si>
  <si>
    <t>Loads</t>
  </si>
  <si>
    <t>Load unit</t>
  </si>
  <si>
    <t>KLT tote 1000 x 800 x 520 mm</t>
  </si>
  <si>
    <t>Max. load per location</t>
  </si>
  <si>
    <t>Structure</t>
  </si>
  <si>
    <t>Roll-formed uprights, silo-type, seismic zone 1</t>
  </si>
  <si>
    <t>Fire protection</t>
  </si>
  <si>
    <t>In-rack sprinklers, every 3rd level</t>
  </si>
  <si>
    <t>Mast type</t>
  </si>
  <si>
    <t>Single mast, aluminium</t>
  </si>
  <si>
    <t>Load handling</t>
  </si>
  <si>
    <t>Telescopic fork, double deep</t>
  </si>
  <si>
    <t>Travel</t>
  </si>
  <si>
    <t>Lift</t>
  </si>
  <si>
    <t>m/s²</t>
  </si>
  <si>
    <t>Double cycles</t>
  </si>
  <si>
    <t>/h</t>
  </si>
  <si>
    <t>Drives</t>
  </si>
  <si>
    <t>Energy recovery regenerative drives</t>
  </si>
  <si>
    <t>Positioning</t>
  </si>
  <si>
    <t>Laser distance + barcode positioning</t>
  </si>
  <si>
    <t>Lanes</t>
  </si>
  <si>
    <t>Driven roller conveyor with P&amp;D stations</t>
  </si>
  <si>
    <t>Load</t>
  </si>
  <si>
    <t>KLT totes up to 250 kg</t>
  </si>
  <si>
    <t>Checks</t>
  </si>
  <si>
    <t>Contour check</t>
  </si>
  <si>
    <t>Light grid + weight check</t>
  </si>
  <si>
    <t>Autonomous mobile robot, roller top</t>
  </si>
  <si>
    <t>Dimensions</t>
  </si>
  <si>
    <t>1600 x 1000 x 420</t>
  </si>
  <si>
    <t>Navigation</t>
  </si>
  <si>
    <t>Method</t>
  </si>
  <si>
    <t>Lidar SLAM + QR floor codes</t>
  </si>
  <si>
    <t>±5</t>
  </si>
  <si>
    <t>Max. speed</t>
  </si>
  <si>
    <t>Battery</t>
  </si>
  <si>
    <t>LiFePO4 48 V / 105 Ah</t>
  </si>
  <si>
    <t>Opportunity charging</t>
  </si>
  <si>
    <t>Automatic, 300 A</t>
  </si>
  <si>
    <t>Sensors</t>
  </si>
  <si>
    <t>2x safety laser scanner (PL d), bumper, e-stop</t>
  </si>
  <si>
    <t>Comms</t>
  </si>
  <si>
    <t>Fleet manager</t>
  </si>
  <si>
    <t>Movix FleetOS via Wi-Fi 6 / VDA 5050</t>
  </si>
  <si>
    <t>Counterbalanced autonomous forklift</t>
  </si>
  <si>
    <t>Lift height</t>
  </si>
  <si>
    <t>Natural feature navigation + reflectors</t>
  </si>
  <si>
    <t>±10</t>
  </si>
  <si>
    <t>Speed (loaded / empty)</t>
  </si>
  <si>
    <t>1.5 / 2.0</t>
  </si>
  <si>
    <t>Li-ion 48 V / 420 Ah</t>
  </si>
  <si>
    <t>2x safety laser scanner, 3D camera, blue spot</t>
  </si>
  <si>
    <t>Charging current</t>
  </si>
  <si>
    <t>A</t>
  </si>
  <si>
    <t>Output voltage</t>
  </si>
  <si>
    <t>V DC</t>
  </si>
  <si>
    <t>Contact type</t>
  </si>
  <si>
    <t>Floor contacts, auto-docking</t>
  </si>
  <si>
    <t>Input</t>
  </si>
  <si>
    <t>3x400 V, 18 kW</t>
  </si>
  <si>
    <t>Twin-belt workpiece pallet transfer system</t>
  </si>
  <si>
    <t>Loop length</t>
  </si>
  <si>
    <t>Workpiece pallets</t>
  </si>
  <si>
    <t>Pallet size</t>
  </si>
  <si>
    <t>640 x 480</t>
  </si>
  <si>
    <t>Tracking</t>
  </si>
  <si>
    <t>RFID on each pallet (13.56 MHz)</t>
  </si>
  <si>
    <t>Stoppers</t>
  </si>
  <si>
    <t>Pneumatic stop + lift-and-locate at each station</t>
  </si>
  <si>
    <t>MDR roller conveyor, tote buffer</t>
  </si>
  <si>
    <t>Buffer capacity</t>
  </si>
  <si>
    <t>totes</t>
  </si>
  <si>
    <t>Belt conveyor with 90° transfer</t>
  </si>
  <si>
    <t>Carton check</t>
  </si>
  <si>
    <t>Weight + label scanner</t>
  </si>
  <si>
    <t>Load steel housing onto pallet, position check</t>
  </si>
  <si>
    <t>Feeding</t>
  </si>
  <si>
    <t>Kit tote from AS/RS via AGV</t>
  </si>
  <si>
    <t>Station pitch</t>
  </si>
  <si>
    <t>Aluminium profile + polycarbonate, interlocked doors</t>
  </si>
  <si>
    <t>PLC</t>
  </si>
  <si>
    <t>Safety PLC, PROFINET, OPC UA to MES</t>
  </si>
  <si>
    <t>Traceability</t>
  </si>
  <si>
    <t>RFID read/write + DMC scan</t>
  </si>
  <si>
    <t>Servo parallel gripper</t>
  </si>
  <si>
    <t>Insert DIN rail + 12 terminal blocks</t>
  </si>
  <si>
    <t>Vision</t>
  </si>
  <si>
    <t>2D camera for pick guidance</t>
  </si>
  <si>
    <t>4-axis SCARA</t>
  </si>
  <si>
    <t>Reach</t>
  </si>
  <si>
    <t>Standard cycle</t>
  </si>
  <si>
    <t>±0.01</t>
  </si>
  <si>
    <t>Servo gripper + vision-guided pick</t>
  </si>
  <si>
    <t>Place PC/ABS front cover + gasket</t>
  </si>
  <si>
    <t>Force control</t>
  </si>
  <si>
    <t>Press-in force 150 N ± 10 %</t>
  </si>
  <si>
    <t>Vacuum gripper for cover</t>
  </si>
  <si>
    <t>4x M4 screws, torque/angle controlled</t>
  </si>
  <si>
    <t>Spindles</t>
  </si>
  <si>
    <t>4x EC spindle, 0.5 - 6 Nm</t>
  </si>
  <si>
    <t>Blow-feed screw presenter</t>
  </si>
  <si>
    <t>100 % visual inspection: gasket, screws, label, scratches</t>
  </si>
  <si>
    <t>Hardware</t>
  </si>
  <si>
    <t>Cameras</t>
  </si>
  <si>
    <t>4x 12 MP mono + 1x 3D profile sensor</t>
  </si>
  <si>
    <t>Illumination</t>
  </si>
  <si>
    <t>Dome + ring lights, strobed</t>
  </si>
  <si>
    <t>Software</t>
  </si>
  <si>
    <t>Algorithm</t>
  </si>
  <si>
    <t>Deep-learning defect classifier v3.2</t>
  </si>
  <si>
    <t>Fiber laser DMC marking + rating label</t>
  </si>
  <si>
    <t>Laser</t>
  </si>
  <si>
    <t>30 W fiber marking laser</t>
  </si>
  <si>
    <t>6-axis collaborative</t>
  </si>
  <si>
    <t>Collaborative mode</t>
  </si>
  <si>
    <t>Power &amp; force limiting, ISO/TS 15066</t>
  </si>
  <si>
    <t>Label applicator + scanner</t>
  </si>
  <si>
    <t>Unload finished enclosure into carton</t>
  </si>
  <si>
    <t>Carton</t>
  </si>
  <si>
    <t>Auto-erected RSC carton</t>
  </si>
  <si>
    <t>4-axis palletizing robot</t>
  </si>
  <si>
    <t>Cycles</t>
  </si>
  <si>
    <t>Pattern</t>
  </si>
  <si>
    <t>Pallet pattern</t>
  </si>
  <si>
    <t>4 cartons/layer, 3 layers, interlocked</t>
  </si>
  <si>
    <t>Gripper</t>
  </si>
  <si>
    <t>Clamp gripper with fork fingers</t>
  </si>
  <si>
    <t>Automatic turntable stretch wrapper</t>
  </si>
  <si>
    <t>Turntable diameter</t>
  </si>
  <si>
    <t>Max. load</t>
  </si>
  <si>
    <t>Rotation speed</t>
  </si>
  <si>
    <t>4 - 12</t>
  </si>
  <si>
    <t>rpm</t>
  </si>
  <si>
    <t>Film</t>
  </si>
  <si>
    <t>Pre-stretch</t>
  </si>
  <si>
    <t>%</t>
  </si>
  <si>
    <t>Film width</t>
  </si>
  <si>
    <t>Bridge-type CMM, granite table</t>
  </si>
  <si>
    <t>Measuring range</t>
  </si>
  <si>
    <t>1200 x 1000 x 800</t>
  </si>
  <si>
    <t>Accuracy</t>
  </si>
  <si>
    <t>MPE_E</t>
  </si>
  <si>
    <t>1.5 + L/333</t>
  </si>
  <si>
    <t>µm</t>
  </si>
  <si>
    <t>Probe</t>
  </si>
  <si>
    <t>Probe head</t>
  </si>
  <si>
    <t>Indexing head + scanning probe</t>
  </si>
  <si>
    <t>Environment</t>
  </si>
  <si>
    <t>Temperature</t>
  </si>
  <si>
    <t>20 ± 1</t>
  </si>
  <si>
    <t>Metrology software</t>
  </si>
  <si>
    <t>MetriosCAD 12 (Q-DAS export)</t>
  </si>
  <si>
    <t>Oil-injected rotary screw, variable speed</t>
  </si>
  <si>
    <t>Motor power</t>
  </si>
  <si>
    <t>Free air delivery</t>
  </si>
  <si>
    <t>4.2 - 19.8</t>
  </si>
  <si>
    <t>m³/min</t>
  </si>
  <si>
    <t>Working pressure</t>
  </si>
  <si>
    <t>Specific power</t>
  </si>
  <si>
    <t>kW/(m³/min)</t>
  </si>
  <si>
    <t>Heat recovery</t>
  </si>
  <si>
    <t>Recoverable heat</t>
  </si>
  <si>
    <t>Noise</t>
  </si>
  <si>
    <t>Sound level</t>
  </si>
  <si>
    <t>dB(A)</t>
  </si>
  <si>
    <t>Cooling capacity</t>
  </si>
  <si>
    <t>Refrigerant</t>
  </si>
  <si>
    <t>R1234ze</t>
  </si>
  <si>
    <t>Supply / return</t>
  </si>
  <si>
    <t>12 / 17</t>
  </si>
  <si>
    <t>EER</t>
  </si>
  <si>
    <t>Free-cooling</t>
  </si>
  <si>
    <t>Below 8 °C ambient</t>
  </si>
  <si>
    <t>Flow rate</t>
  </si>
  <si>
    <t>m³/h</t>
  </si>
  <si>
    <t>Rated power</t>
  </si>
  <si>
    <t>Primary / secondary</t>
  </si>
  <si>
    <t>20 kV / 400 V</t>
  </si>
  <si>
    <t>Cast resin dry type, AN/AF</t>
  </si>
  <si>
    <t>Protection</t>
  </si>
  <si>
    <t>Switchgear</t>
  </si>
  <si>
    <t>SF6-free MV RMU + ACB 4000 A</t>
  </si>
  <si>
    <t>Monitoring</t>
  </si>
  <si>
    <t>Power quality</t>
  </si>
  <si>
    <t>Class A analyser, THD monitoring</t>
  </si>
  <si>
    <t>Part No.</t>
  </si>
  <si>
    <t>Qty</t>
  </si>
  <si>
    <t>Source</t>
  </si>
  <si>
    <t>Smart Electrical Enclosure (finished)</t>
  </si>
  <si>
    <t>pcs</t>
  </si>
  <si>
    <t>Steel housing, DC01 1.5 mm, powder coated</t>
  </si>
  <si>
    <t>Front cover, PC/ABS V0 grey</t>
  </si>
  <si>
    <t>Gland plate, PA6-GF30</t>
  </si>
  <si>
    <t>Terminal carrier, PA6-GF30</t>
  </si>
  <si>
    <t>SM-2240</t>
  </si>
  <si>
    <t>DIN rail 35 x 7.5 mm</t>
  </si>
  <si>
    <t>HW-0404</t>
  </si>
  <si>
    <t>Screw M4 x 12, stainless</t>
  </si>
  <si>
    <t>Purchased</t>
  </si>
  <si>
    <t>EL-1210</t>
  </si>
  <si>
    <t>Terminal block 2.5 mm²</t>
  </si>
  <si>
    <t>Step</t>
  </si>
  <si>
    <t>Equipment</t>
  </si>
  <si>
    <t>Output</t>
  </si>
  <si>
    <t>Flow</t>
  </si>
  <si>
    <t>Mould front cover &amp; plastic parts</t>
  </si>
  <si>
    <t>IMM-01, IMM-02, IMM-03, IMM-04</t>
  </si>
  <si>
    <t>PC-2001 / PC-2014 / PC-2022</t>
  </si>
  <si>
    <t>plastic</t>
  </si>
  <si>
    <t>Laser cut housing blank</t>
  </si>
  <si>
    <t>LAS-01, LAS-02</t>
  </si>
  <si>
    <t>SM-3105 blank</t>
  </si>
  <si>
    <t>metal</t>
  </si>
  <si>
    <t>Robotic bending</t>
  </si>
  <si>
    <t>PBR-01, PBR-02</t>
  </si>
  <si>
    <t>SM-3105 bent</t>
  </si>
  <si>
    <t>Emboss &amp; clinch nuts</t>
  </si>
  <si>
    <t>SM-3105 finished</t>
  </si>
  <si>
    <t>Stamp DIN rails (coil)</t>
  </si>
  <si>
    <t>Transport to AS/RS (AGV)</t>
  </si>
  <si>
    <t>AGV-01, AGV-02</t>
  </si>
  <si>
    <t>Totes</t>
  </si>
  <si>
    <t>logistics</t>
  </si>
  <si>
    <t>Store &amp; kit in AS/RS</t>
  </si>
  <si>
    <t>SRM-01, SRM-02, SRM-03</t>
  </si>
  <si>
    <t>Kits</t>
  </si>
  <si>
    <t>Deliver kits to assembly (AGV)</t>
  </si>
  <si>
    <t>AGV-03, AGV-04</t>
  </si>
  <si>
    <t>Automated assembly</t>
  </si>
  <si>
    <t>ASM-01, ASM-02, ASM-03, ASM-04</t>
  </si>
  <si>
    <t>EB-200 assembled</t>
  </si>
  <si>
    <t>assembly</t>
  </si>
  <si>
    <t>Vision inspection</t>
  </si>
  <si>
    <t>EB-200 OK</t>
  </si>
  <si>
    <t>Marking, cartoning</t>
  </si>
  <si>
    <t>ASM-06, ASM-07</t>
  </si>
  <si>
    <t>EB-200 packed</t>
  </si>
  <si>
    <t>Palletize &amp; wrap</t>
  </si>
  <si>
    <t>PAL-01, SWR-01</t>
  </si>
  <si>
    <t>Pallet of 12</t>
  </si>
  <si>
    <t>eol</t>
  </si>
  <si>
    <t>Move to shipping (forklift AGV)</t>
  </si>
  <si>
    <t>Shipment</t>
  </si>
  <si>
    <t>Code</t>
  </si>
  <si>
    <t>Equipment Type</t>
  </si>
  <si>
    <t>Severity</t>
  </si>
  <si>
    <t>Text</t>
  </si>
  <si>
    <t>E-101</t>
  </si>
  <si>
    <t>Major</t>
  </si>
  <si>
    <t>Mould temperature deviation &gt; 5 °C</t>
  </si>
  <si>
    <t>E-114</t>
  </si>
  <si>
    <t>Minor</t>
  </si>
  <si>
    <t>Short shot detected – cavity pressure low</t>
  </si>
  <si>
    <t>E-122</t>
  </si>
  <si>
    <t>Hopper low level – material starvation</t>
  </si>
  <si>
    <t>E-130</t>
  </si>
  <si>
    <t>Vacuum not reached at take-out</t>
  </si>
  <si>
    <t>E-205</t>
  </si>
  <si>
    <t>Nozzle collision detected</t>
  </si>
  <si>
    <t>E-211</t>
  </si>
  <si>
    <t>Assist gas pressure low</t>
  </si>
  <si>
    <t>E-220</t>
  </si>
  <si>
    <t>Double sheet detected at loader</t>
  </si>
  <si>
    <t>E-301</t>
  </si>
  <si>
    <t>Angle out of tolerance (&gt; 0.5°)</t>
  </si>
  <si>
    <t>E-310</t>
  </si>
  <si>
    <t>Back gauge position error</t>
  </si>
  <si>
    <t>E-401</t>
  </si>
  <si>
    <t>Critical</t>
  </si>
  <si>
    <t>Hydraulic oil temperature high</t>
  </si>
  <si>
    <t>E-405</t>
  </si>
  <si>
    <t>Coil end / misfeed</t>
  </si>
  <si>
    <t>E-501</t>
  </si>
  <si>
    <t>Gripper part-present lost</t>
  </si>
  <si>
    <t>E-507</t>
  </si>
  <si>
    <t>Safety zone violation – reduced speed</t>
  </si>
  <si>
    <t>E-520</t>
  </si>
  <si>
    <t>Vision pick failed – retry</t>
  </si>
  <si>
    <t>E-601</t>
  </si>
  <si>
    <t>Jam detected at photo-eye</t>
  </si>
  <si>
    <t>E-640</t>
  </si>
  <si>
    <t>RFID read error on pallet</t>
  </si>
  <si>
    <t>E-701</t>
  </si>
  <si>
    <t>Fork position sensor fault</t>
  </si>
  <si>
    <t>E-712</t>
  </si>
  <si>
    <t>Contour check failed at P&amp;D</t>
  </si>
  <si>
    <t>E-801</t>
  </si>
  <si>
    <t>Path blocked – obstacle detected</t>
  </si>
  <si>
    <t>E-810</t>
  </si>
  <si>
    <t>Localisation lost</t>
  </si>
  <si>
    <t>E-811</t>
  </si>
  <si>
    <t>Pallet pocket not detected</t>
  </si>
  <si>
    <t>E-901</t>
  </si>
  <si>
    <t>Part missing at station</t>
  </si>
  <si>
    <t>E-915</t>
  </si>
  <si>
    <t>Screw torque NOK (3 retries)</t>
  </si>
  <si>
    <t>E-930</t>
  </si>
  <si>
    <t>Vision reject rate &gt; 2 %</t>
  </si>
  <si>
    <t>E-950</t>
  </si>
  <si>
    <t>Film break</t>
  </si>
  <si>
    <t>E-990</t>
  </si>
  <si>
    <t>utility</t>
  </si>
  <si>
    <t>Filter differential pressure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</si>
</sst>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Calibri"/>
    </font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6222F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5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6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78D6"/>
  </sheetPr>
  <dimension ref="B2:B22"/>
  <sheetFormatPr defaultRowHeight="15" outlineLevelRow="0" outlineLevelCol="0" x14ac:dyDescent="55"/>
  <cols>
    <col min="1" max="1" width="3" customWidth="1"/>
    <col min="2" max="2" width="12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5" spans="2:2" x14ac:dyDescent="0.25">
      <c r="B5" s="3" t="s">
        <v>3</v>
      </c>
    </row>
    <row r="6" spans="2:2" x14ac:dyDescent="0.25">
      <c r="B6" s="2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2</v>
      </c>
    </row>
    <row r="10" spans="2:2" x14ac:dyDescent="0.25">
      <c r="B10" s="3" t="s">
        <v>7</v>
      </c>
    </row>
    <row r="11" spans="2:2" x14ac:dyDescent="0.25">
      <c r="B11" s="2" t="s">
        <v>8</v>
      </c>
    </row>
    <row r="12" spans="2:2" x14ac:dyDescent="0.25">
      <c r="B12" s="2" t="s">
        <v>9</v>
      </c>
    </row>
    <row r="13" spans="2:2" x14ac:dyDescent="0.25">
      <c r="B13" s="2" t="s">
        <v>10</v>
      </c>
    </row>
    <row r="14" spans="2:2" x14ac:dyDescent="0.25">
      <c r="B14" s="2" t="s">
        <v>11</v>
      </c>
    </row>
    <row r="15" spans="2:2" x14ac:dyDescent="0.25">
      <c r="B15" s="2" t="s">
        <v>12</v>
      </c>
    </row>
    <row r="16" spans="2:2" x14ac:dyDescent="0.25">
      <c r="B16" s="2" t="s">
        <v>13</v>
      </c>
    </row>
    <row r="17" spans="2:2" x14ac:dyDescent="0.25">
      <c r="B17" s="2" t="s">
        <v>2</v>
      </c>
    </row>
    <row r="18" spans="2:2" x14ac:dyDescent="0.25">
      <c r="B18" s="3" t="s">
        <v>14</v>
      </c>
    </row>
    <row r="19" spans="2:2" x14ac:dyDescent="0.25">
      <c r="B19" s="2" t="s">
        <v>15</v>
      </c>
    </row>
    <row r="20" spans="2:2" x14ac:dyDescent="0.25">
      <c r="B20" s="2" t="s">
        <v>16</v>
      </c>
    </row>
    <row r="21" spans="2:2" x14ac:dyDescent="0.25">
      <c r="B21" s="2" t="s">
        <v>17</v>
      </c>
    </row>
    <row r="22" spans="2:2" x14ac:dyDescent="0.25">
      <c r="B2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8794"/>
  </sheetPr>
  <dimension ref="A1:C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70" customWidth="1"/>
  </cols>
  <sheetData>
    <row r="1" ht="30" customHeight="1" spans="1:3" x14ac:dyDescent="0.25">
      <c r="A1" s="4" t="s">
        <v>19</v>
      </c>
      <c r="B1" s="4" t="s">
        <v>20</v>
      </c>
      <c r="C1" s="4" t="s">
        <v>21</v>
      </c>
    </row>
    <row r="2" spans="1:3" x14ac:dyDescent="0.25">
      <c r="A2" s="5" t="s">
        <v>22</v>
      </c>
      <c r="B2" s="6" t="s">
        <v>23</v>
      </c>
      <c r="C2" s="5" t="s">
        <v>24</v>
      </c>
    </row>
    <row r="3" spans="1:3" x14ac:dyDescent="0.25">
      <c r="A3" s="5" t="s">
        <v>25</v>
      </c>
      <c r="B3" s="6" t="s">
        <v>26</v>
      </c>
      <c r="C3" s="5" t="s">
        <v>27</v>
      </c>
    </row>
    <row r="4" spans="1:3" x14ac:dyDescent="0.25">
      <c r="A4" s="5" t="s">
        <v>28</v>
      </c>
      <c r="B4" s="6">
        <v>1</v>
      </c>
      <c r="C4" s="5" t="s">
        <v>29</v>
      </c>
    </row>
    <row r="5" spans="1:3" x14ac:dyDescent="0.25">
      <c r="A5" s="5" t="s">
        <v>30</v>
      </c>
      <c r="B5" s="6">
        <v>1</v>
      </c>
      <c r="C5" s="5" t="s">
        <v>31</v>
      </c>
    </row>
    <row r="6" spans="1:3" x14ac:dyDescent="0.25">
      <c r="A6" s="5" t="s">
        <v>32</v>
      </c>
      <c r="B6" s="6" t="s">
        <v>33</v>
      </c>
      <c r="C6" s="5" t="s">
        <v>24</v>
      </c>
    </row>
    <row r="7" spans="1:3" x14ac:dyDescent="0.25">
      <c r="A7" s="5" t="s">
        <v>34</v>
      </c>
      <c r="B7" s="6">
        <v>560</v>
      </c>
      <c r="C7" s="5" t="s">
        <v>35</v>
      </c>
    </row>
  </sheetData>
  <autoFilter ref="A1:C1"/>
  <dataValidations count="1">
    <dataValidation type="list" sqref="B3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6A6"/>
  </sheetPr>
  <dimension ref="A1:K6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8" customWidth="1"/>
    <col min="3" max="3" width="22" customWidth="1"/>
    <col min="4" max="4" width="24" customWidth="1"/>
    <col min="5" max="5" width="12" customWidth="1"/>
    <col min="6" max="6" width="10" customWidth="1"/>
    <col min="7" max="7" width="24" customWidth="1"/>
    <col min="8" max="8" width="30" customWidth="1"/>
    <col min="9" max="9" width="24" customWidth="1"/>
    <col min="10" max="10" width="8" customWidth="1"/>
    <col min="11" max="11" width="18" customWidth="1"/>
  </cols>
  <sheetData>
    <row r="1" ht="30" customHeight="1" spans="1:11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</row>
    <row r="2" spans="1:11" x14ac:dyDescent="0.25">
      <c r="A2" s="5" t="s">
        <v>47</v>
      </c>
      <c r="B2" s="6" t="s">
        <v>48</v>
      </c>
      <c r="C2" s="5" t="s">
        <v>49</v>
      </c>
      <c r="D2" s="5" t="s">
        <v>50</v>
      </c>
      <c r="E2" s="5" t="s">
        <v>51</v>
      </c>
      <c r="F2" s="5" t="s">
        <v>2</v>
      </c>
      <c r="G2" s="6" t="s">
        <v>52</v>
      </c>
      <c r="H2" s="6" t="s">
        <v>53</v>
      </c>
      <c r="I2" s="6" t="s">
        <v>54</v>
      </c>
      <c r="J2" s="6">
        <v>2022</v>
      </c>
      <c r="K2" s="5" t="s">
        <v>55</v>
      </c>
    </row>
    <row r="3" spans="1:11" x14ac:dyDescent="0.25">
      <c r="A3" s="5" t="s">
        <v>56</v>
      </c>
      <c r="B3" s="6" t="s">
        <v>57</v>
      </c>
      <c r="C3" s="5" t="s">
        <v>58</v>
      </c>
      <c r="D3" s="5" t="s">
        <v>50</v>
      </c>
      <c r="E3" s="5" t="s">
        <v>59</v>
      </c>
      <c r="F3" s="5" t="s">
        <v>47</v>
      </c>
      <c r="G3" s="6" t="s">
        <v>60</v>
      </c>
      <c r="H3" s="6" t="s">
        <v>61</v>
      </c>
      <c r="I3" s="6" t="s">
        <v>62</v>
      </c>
      <c r="J3" s="6">
        <v>2022</v>
      </c>
      <c r="K3" s="5" t="s">
        <v>63</v>
      </c>
    </row>
    <row r="4" spans="1:11" x14ac:dyDescent="0.25">
      <c r="A4" s="5" t="s">
        <v>64</v>
      </c>
      <c r="B4" s="6" t="s">
        <v>65</v>
      </c>
      <c r="C4" s="5" t="s">
        <v>66</v>
      </c>
      <c r="D4" s="5" t="s">
        <v>50</v>
      </c>
      <c r="E4" s="5" t="s">
        <v>67</v>
      </c>
      <c r="F4" s="5" t="s">
        <v>2</v>
      </c>
      <c r="G4" s="6" t="s">
        <v>68</v>
      </c>
      <c r="H4" s="6" t="s">
        <v>69</v>
      </c>
      <c r="I4" s="6" t="s">
        <v>70</v>
      </c>
      <c r="J4" s="6">
        <v>2022</v>
      </c>
      <c r="K4" s="5" t="s">
        <v>71</v>
      </c>
    </row>
    <row r="5" spans="1:11" x14ac:dyDescent="0.25">
      <c r="A5" s="5" t="s">
        <v>72</v>
      </c>
      <c r="B5" s="6" t="s">
        <v>73</v>
      </c>
      <c r="C5" s="5" t="s">
        <v>49</v>
      </c>
      <c r="D5" s="5" t="s">
        <v>50</v>
      </c>
      <c r="E5" s="5" t="s">
        <v>51</v>
      </c>
      <c r="F5" s="5" t="s">
        <v>2</v>
      </c>
      <c r="G5" s="6" t="s">
        <v>52</v>
      </c>
      <c r="H5" s="6" t="s">
        <v>53</v>
      </c>
      <c r="I5" s="6" t="s">
        <v>74</v>
      </c>
      <c r="J5" s="6">
        <v>2022</v>
      </c>
      <c r="K5" s="5" t="s">
        <v>75</v>
      </c>
    </row>
    <row r="6" spans="1:11" x14ac:dyDescent="0.25">
      <c r="A6" s="5" t="s">
        <v>76</v>
      </c>
      <c r="B6" s="6" t="s">
        <v>77</v>
      </c>
      <c r="C6" s="5" t="s">
        <v>58</v>
      </c>
      <c r="D6" s="5" t="s">
        <v>50</v>
      </c>
      <c r="E6" s="5" t="s">
        <v>59</v>
      </c>
      <c r="F6" s="5" t="s">
        <v>72</v>
      </c>
      <c r="G6" s="6" t="s">
        <v>60</v>
      </c>
      <c r="H6" s="6" t="s">
        <v>61</v>
      </c>
      <c r="I6" s="6" t="s">
        <v>78</v>
      </c>
      <c r="J6" s="6">
        <v>2022</v>
      </c>
      <c r="K6" s="5" t="s">
        <v>79</v>
      </c>
    </row>
    <row r="7" spans="1:11" x14ac:dyDescent="0.25">
      <c r="A7" s="5" t="s">
        <v>80</v>
      </c>
      <c r="B7" s="6" t="s">
        <v>81</v>
      </c>
      <c r="C7" s="5" t="s">
        <v>66</v>
      </c>
      <c r="D7" s="5" t="s">
        <v>50</v>
      </c>
      <c r="E7" s="5" t="s">
        <v>67</v>
      </c>
      <c r="F7" s="5" t="s">
        <v>2</v>
      </c>
      <c r="G7" s="6" t="s">
        <v>68</v>
      </c>
      <c r="H7" s="6" t="s">
        <v>69</v>
      </c>
      <c r="I7" s="6" t="s">
        <v>82</v>
      </c>
      <c r="J7" s="6">
        <v>2022</v>
      </c>
      <c r="K7" s="5" t="s">
        <v>83</v>
      </c>
    </row>
    <row r="8" spans="1:11" x14ac:dyDescent="0.25">
      <c r="A8" s="5" t="s">
        <v>84</v>
      </c>
      <c r="B8" s="6" t="s">
        <v>85</v>
      </c>
      <c r="C8" s="5" t="s">
        <v>49</v>
      </c>
      <c r="D8" s="5" t="s">
        <v>50</v>
      </c>
      <c r="E8" s="5" t="s">
        <v>51</v>
      </c>
      <c r="F8" s="5" t="s">
        <v>2</v>
      </c>
      <c r="G8" s="6" t="s">
        <v>52</v>
      </c>
      <c r="H8" s="6" t="s">
        <v>86</v>
      </c>
      <c r="I8" s="6" t="s">
        <v>87</v>
      </c>
      <c r="J8" s="6">
        <v>2024</v>
      </c>
      <c r="K8" s="5" t="s">
        <v>88</v>
      </c>
    </row>
    <row r="9" spans="1:11" x14ac:dyDescent="0.25">
      <c r="A9" s="5" t="s">
        <v>89</v>
      </c>
      <c r="B9" s="6" t="s">
        <v>90</v>
      </c>
      <c r="C9" s="5" t="s">
        <v>58</v>
      </c>
      <c r="D9" s="5" t="s">
        <v>50</v>
      </c>
      <c r="E9" s="5" t="s">
        <v>59</v>
      </c>
      <c r="F9" s="5" t="s">
        <v>84</v>
      </c>
      <c r="G9" s="6" t="s">
        <v>60</v>
      </c>
      <c r="H9" s="6" t="s">
        <v>61</v>
      </c>
      <c r="I9" s="6" t="s">
        <v>91</v>
      </c>
      <c r="J9" s="6">
        <v>2024</v>
      </c>
      <c r="K9" s="5" t="s">
        <v>92</v>
      </c>
    </row>
    <row r="10" spans="1:11" x14ac:dyDescent="0.25">
      <c r="A10" s="5" t="s">
        <v>93</v>
      </c>
      <c r="B10" s="6" t="s">
        <v>94</v>
      </c>
      <c r="C10" s="5" t="s">
        <v>66</v>
      </c>
      <c r="D10" s="5" t="s">
        <v>50</v>
      </c>
      <c r="E10" s="5" t="s">
        <v>67</v>
      </c>
      <c r="F10" s="5" t="s">
        <v>2</v>
      </c>
      <c r="G10" s="6" t="s">
        <v>68</v>
      </c>
      <c r="H10" s="6" t="s">
        <v>69</v>
      </c>
      <c r="I10" s="6" t="s">
        <v>95</v>
      </c>
      <c r="J10" s="6">
        <v>2024</v>
      </c>
      <c r="K10" s="5" t="s">
        <v>96</v>
      </c>
    </row>
    <row r="11" spans="1:11" x14ac:dyDescent="0.25">
      <c r="A11" s="5" t="s">
        <v>97</v>
      </c>
      <c r="B11" s="6" t="s">
        <v>98</v>
      </c>
      <c r="C11" s="5" t="s">
        <v>49</v>
      </c>
      <c r="D11" s="5" t="s">
        <v>50</v>
      </c>
      <c r="E11" s="5" t="s">
        <v>51</v>
      </c>
      <c r="F11" s="5" t="s">
        <v>2</v>
      </c>
      <c r="G11" s="6" t="s">
        <v>52</v>
      </c>
      <c r="H11" s="6" t="s">
        <v>86</v>
      </c>
      <c r="I11" s="6" t="s">
        <v>99</v>
      </c>
      <c r="J11" s="6">
        <v>2024</v>
      </c>
      <c r="K11" s="5" t="s">
        <v>100</v>
      </c>
    </row>
    <row r="12" spans="1:11" x14ac:dyDescent="0.25">
      <c r="A12" s="5" t="s">
        <v>101</v>
      </c>
      <c r="B12" s="6" t="s">
        <v>102</v>
      </c>
      <c r="C12" s="5" t="s">
        <v>58</v>
      </c>
      <c r="D12" s="5" t="s">
        <v>50</v>
      </c>
      <c r="E12" s="5" t="s">
        <v>59</v>
      </c>
      <c r="F12" s="5" t="s">
        <v>97</v>
      </c>
      <c r="G12" s="6" t="s">
        <v>60</v>
      </c>
      <c r="H12" s="6" t="s">
        <v>61</v>
      </c>
      <c r="I12" s="6" t="s">
        <v>103</v>
      </c>
      <c r="J12" s="6">
        <v>2024</v>
      </c>
      <c r="K12" s="5" t="s">
        <v>104</v>
      </c>
    </row>
    <row r="13" spans="1:11" x14ac:dyDescent="0.25">
      <c r="A13" s="5" t="s">
        <v>105</v>
      </c>
      <c r="B13" s="6" t="s">
        <v>106</v>
      </c>
      <c r="C13" s="5" t="s">
        <v>66</v>
      </c>
      <c r="D13" s="5" t="s">
        <v>50</v>
      </c>
      <c r="E13" s="5" t="s">
        <v>67</v>
      </c>
      <c r="F13" s="5" t="s">
        <v>2</v>
      </c>
      <c r="G13" s="6" t="s">
        <v>68</v>
      </c>
      <c r="H13" s="6" t="s">
        <v>69</v>
      </c>
      <c r="I13" s="6" t="s">
        <v>107</v>
      </c>
      <c r="J13" s="6">
        <v>2024</v>
      </c>
      <c r="K13" s="5" t="s">
        <v>108</v>
      </c>
    </row>
    <row r="14" spans="1:11" x14ac:dyDescent="0.25">
      <c r="A14" s="5" t="s">
        <v>109</v>
      </c>
      <c r="B14" s="6" t="s">
        <v>110</v>
      </c>
      <c r="C14" s="5" t="s">
        <v>49</v>
      </c>
      <c r="D14" s="5" t="s">
        <v>50</v>
      </c>
      <c r="E14" s="5" t="s">
        <v>111</v>
      </c>
      <c r="F14" s="5" t="s">
        <v>2</v>
      </c>
      <c r="G14" s="6" t="s">
        <v>112</v>
      </c>
      <c r="H14" s="6" t="s">
        <v>113</v>
      </c>
      <c r="I14" s="6" t="s">
        <v>114</v>
      </c>
      <c r="J14" s="6">
        <v>2022</v>
      </c>
      <c r="K14" s="5" t="s">
        <v>115</v>
      </c>
    </row>
    <row r="15" spans="1:11" x14ac:dyDescent="0.25">
      <c r="A15" s="5" t="s">
        <v>116</v>
      </c>
      <c r="B15" s="6" t="s">
        <v>117</v>
      </c>
      <c r="C15" s="5" t="s">
        <v>118</v>
      </c>
      <c r="D15" s="5" t="s">
        <v>119</v>
      </c>
      <c r="E15" s="5" t="s">
        <v>120</v>
      </c>
      <c r="F15" s="5" t="s">
        <v>2</v>
      </c>
      <c r="G15" s="6" t="s">
        <v>121</v>
      </c>
      <c r="H15" s="6" t="s">
        <v>122</v>
      </c>
      <c r="I15" s="6" t="s">
        <v>123</v>
      </c>
      <c r="J15" s="6">
        <v>2021</v>
      </c>
      <c r="K15" s="5" t="s">
        <v>124</v>
      </c>
    </row>
    <row r="16" spans="1:11" x14ac:dyDescent="0.25">
      <c r="A16" s="5" t="s">
        <v>125</v>
      </c>
      <c r="B16" s="6" t="s">
        <v>126</v>
      </c>
      <c r="C16" s="5" t="s">
        <v>118</v>
      </c>
      <c r="D16" s="5" t="s">
        <v>119</v>
      </c>
      <c r="E16" s="5" t="s">
        <v>127</v>
      </c>
      <c r="F16" s="5" t="s">
        <v>2</v>
      </c>
      <c r="G16" s="6" t="s">
        <v>121</v>
      </c>
      <c r="H16" s="6" t="s">
        <v>128</v>
      </c>
      <c r="I16" s="6" t="s">
        <v>129</v>
      </c>
      <c r="J16" s="6">
        <v>2021</v>
      </c>
      <c r="K16" s="5" t="s">
        <v>130</v>
      </c>
    </row>
    <row r="17" spans="1:11" x14ac:dyDescent="0.25">
      <c r="A17" s="5" t="s">
        <v>131</v>
      </c>
      <c r="B17" s="6" t="s">
        <v>132</v>
      </c>
      <c r="C17" s="5" t="s">
        <v>118</v>
      </c>
      <c r="D17" s="5" t="s">
        <v>119</v>
      </c>
      <c r="E17" s="5" t="s">
        <v>120</v>
      </c>
      <c r="F17" s="5" t="s">
        <v>2</v>
      </c>
      <c r="G17" s="6" t="s">
        <v>121</v>
      </c>
      <c r="H17" s="6" t="s">
        <v>133</v>
      </c>
      <c r="I17" s="6" t="s">
        <v>134</v>
      </c>
      <c r="J17" s="6">
        <v>2024</v>
      </c>
      <c r="K17" s="5" t="s">
        <v>135</v>
      </c>
    </row>
    <row r="18" spans="1:11" x14ac:dyDescent="0.25">
      <c r="A18" s="5" t="s">
        <v>136</v>
      </c>
      <c r="B18" s="6" t="s">
        <v>137</v>
      </c>
      <c r="C18" s="5" t="s">
        <v>118</v>
      </c>
      <c r="D18" s="5" t="s">
        <v>119</v>
      </c>
      <c r="E18" s="5" t="s">
        <v>127</v>
      </c>
      <c r="F18" s="5" t="s">
        <v>2</v>
      </c>
      <c r="G18" s="6" t="s">
        <v>121</v>
      </c>
      <c r="H18" s="6" t="s">
        <v>128</v>
      </c>
      <c r="I18" s="6" t="s">
        <v>138</v>
      </c>
      <c r="J18" s="6">
        <v>2024</v>
      </c>
      <c r="K18" s="5" t="s">
        <v>139</v>
      </c>
    </row>
    <row r="19" spans="1:11" x14ac:dyDescent="0.25">
      <c r="A19" s="5" t="s">
        <v>140</v>
      </c>
      <c r="B19" s="6" t="s">
        <v>141</v>
      </c>
      <c r="C19" s="5" t="s">
        <v>142</v>
      </c>
      <c r="D19" s="5" t="s">
        <v>119</v>
      </c>
      <c r="E19" s="5" t="s">
        <v>143</v>
      </c>
      <c r="F19" s="5" t="s">
        <v>2</v>
      </c>
      <c r="G19" s="6" t="s">
        <v>144</v>
      </c>
      <c r="H19" s="6" t="s">
        <v>145</v>
      </c>
      <c r="I19" s="6" t="s">
        <v>146</v>
      </c>
      <c r="J19" s="6">
        <v>2023</v>
      </c>
      <c r="K19" s="5" t="s">
        <v>147</v>
      </c>
    </row>
    <row r="20" spans="1:11" x14ac:dyDescent="0.25">
      <c r="A20" s="5" t="s">
        <v>148</v>
      </c>
      <c r="B20" s="6" t="s">
        <v>149</v>
      </c>
      <c r="C20" s="5" t="s">
        <v>58</v>
      </c>
      <c r="D20" s="5" t="s">
        <v>119</v>
      </c>
      <c r="E20" s="5" t="s">
        <v>150</v>
      </c>
      <c r="F20" s="5" t="s">
        <v>2</v>
      </c>
      <c r="G20" s="6" t="s">
        <v>60</v>
      </c>
      <c r="H20" s="6" t="s">
        <v>151</v>
      </c>
      <c r="I20" s="6" t="s">
        <v>152</v>
      </c>
      <c r="J20" s="6">
        <v>2023</v>
      </c>
      <c r="K20" s="5" t="s">
        <v>153</v>
      </c>
    </row>
    <row r="21" spans="1:11" x14ac:dyDescent="0.25">
      <c r="A21" s="5" t="s">
        <v>154</v>
      </c>
      <c r="B21" s="6" t="s">
        <v>155</v>
      </c>
      <c r="C21" s="5" t="s">
        <v>142</v>
      </c>
      <c r="D21" s="5" t="s">
        <v>119</v>
      </c>
      <c r="E21" s="5" t="s">
        <v>143</v>
      </c>
      <c r="F21" s="5" t="s">
        <v>2</v>
      </c>
      <c r="G21" s="6" t="s">
        <v>144</v>
      </c>
      <c r="H21" s="6" t="s">
        <v>145</v>
      </c>
      <c r="I21" s="6" t="s">
        <v>156</v>
      </c>
      <c r="J21" s="6">
        <v>2023</v>
      </c>
      <c r="K21" s="5" t="s">
        <v>157</v>
      </c>
    </row>
    <row r="22" spans="1:11" x14ac:dyDescent="0.25">
      <c r="A22" s="5" t="s">
        <v>158</v>
      </c>
      <c r="B22" s="6" t="s">
        <v>159</v>
      </c>
      <c r="C22" s="5" t="s">
        <v>58</v>
      </c>
      <c r="D22" s="5" t="s">
        <v>119</v>
      </c>
      <c r="E22" s="5" t="s">
        <v>150</v>
      </c>
      <c r="F22" s="5" t="s">
        <v>2</v>
      </c>
      <c r="G22" s="6" t="s">
        <v>60</v>
      </c>
      <c r="H22" s="6" t="s">
        <v>151</v>
      </c>
      <c r="I22" s="6" t="s">
        <v>160</v>
      </c>
      <c r="J22" s="6">
        <v>2023</v>
      </c>
      <c r="K22" s="5" t="s">
        <v>161</v>
      </c>
    </row>
    <row r="23" spans="1:11" x14ac:dyDescent="0.25">
      <c r="A23" s="5" t="s">
        <v>162</v>
      </c>
      <c r="B23" s="6" t="s">
        <v>163</v>
      </c>
      <c r="C23" s="5" t="s">
        <v>164</v>
      </c>
      <c r="D23" s="5" t="s">
        <v>119</v>
      </c>
      <c r="E23" s="5" t="s">
        <v>165</v>
      </c>
      <c r="F23" s="5" t="s">
        <v>2</v>
      </c>
      <c r="G23" s="6" t="s">
        <v>166</v>
      </c>
      <c r="H23" s="6" t="s">
        <v>167</v>
      </c>
      <c r="I23" s="6" t="s">
        <v>168</v>
      </c>
      <c r="J23" s="6">
        <v>2020</v>
      </c>
      <c r="K23" s="5" t="s">
        <v>169</v>
      </c>
    </row>
    <row r="24" spans="1:11" x14ac:dyDescent="0.25">
      <c r="A24" s="5" t="s">
        <v>170</v>
      </c>
      <c r="B24" s="6" t="s">
        <v>171</v>
      </c>
      <c r="C24" s="5" t="s">
        <v>58</v>
      </c>
      <c r="D24" s="5" t="s">
        <v>119</v>
      </c>
      <c r="E24" s="5" t="s">
        <v>150</v>
      </c>
      <c r="F24" s="5" t="s">
        <v>2</v>
      </c>
      <c r="G24" s="6" t="s">
        <v>60</v>
      </c>
      <c r="H24" s="6" t="s">
        <v>172</v>
      </c>
      <c r="I24" s="6" t="s">
        <v>173</v>
      </c>
      <c r="J24" s="6">
        <v>2020</v>
      </c>
      <c r="K24" s="5" t="s">
        <v>174</v>
      </c>
    </row>
    <row r="25" spans="1:11" x14ac:dyDescent="0.25">
      <c r="A25" s="5" t="s">
        <v>175</v>
      </c>
      <c r="B25" s="6" t="s">
        <v>176</v>
      </c>
      <c r="C25" s="5" t="s">
        <v>164</v>
      </c>
      <c r="D25" s="5" t="s">
        <v>119</v>
      </c>
      <c r="E25" s="5" t="s">
        <v>177</v>
      </c>
      <c r="F25" s="5" t="s">
        <v>2</v>
      </c>
      <c r="G25" s="6" t="s">
        <v>178</v>
      </c>
      <c r="H25" s="6" t="s">
        <v>179</v>
      </c>
      <c r="I25" s="6" t="s">
        <v>180</v>
      </c>
      <c r="J25" s="6">
        <v>2024</v>
      </c>
      <c r="K25" s="5" t="s">
        <v>181</v>
      </c>
    </row>
    <row r="26" spans="1:11" x14ac:dyDescent="0.25">
      <c r="A26" s="5" t="s">
        <v>182</v>
      </c>
      <c r="B26" s="6" t="s">
        <v>183</v>
      </c>
      <c r="C26" s="5" t="s">
        <v>66</v>
      </c>
      <c r="D26" s="5" t="s">
        <v>119</v>
      </c>
      <c r="E26" s="5" t="s">
        <v>67</v>
      </c>
      <c r="F26" s="5" t="s">
        <v>2</v>
      </c>
      <c r="G26" s="6" t="s">
        <v>68</v>
      </c>
      <c r="H26" s="6" t="s">
        <v>184</v>
      </c>
      <c r="I26" s="6" t="s">
        <v>185</v>
      </c>
      <c r="J26" s="6">
        <v>2023</v>
      </c>
      <c r="K26" s="5" t="s">
        <v>186</v>
      </c>
    </row>
    <row r="27" spans="1:11" x14ac:dyDescent="0.25">
      <c r="A27" s="5" t="s">
        <v>187</v>
      </c>
      <c r="B27" s="6" t="s">
        <v>188</v>
      </c>
      <c r="C27" s="5" t="s">
        <v>189</v>
      </c>
      <c r="D27" s="5" t="s">
        <v>119</v>
      </c>
      <c r="E27" s="5" t="s">
        <v>190</v>
      </c>
      <c r="F27" s="5" t="s">
        <v>2</v>
      </c>
      <c r="G27" s="6" t="s">
        <v>191</v>
      </c>
      <c r="H27" s="6" t="s">
        <v>192</v>
      </c>
      <c r="I27" s="6" t="s">
        <v>193</v>
      </c>
      <c r="J27" s="6">
        <v>2019</v>
      </c>
      <c r="K27" s="5" t="s">
        <v>194</v>
      </c>
    </row>
    <row r="28" spans="1:11" x14ac:dyDescent="0.25">
      <c r="A28" s="5" t="s">
        <v>195</v>
      </c>
      <c r="B28" s="6" t="s">
        <v>196</v>
      </c>
      <c r="C28" s="5" t="s">
        <v>197</v>
      </c>
      <c r="D28" s="5" t="s">
        <v>198</v>
      </c>
      <c r="E28" s="5" t="s">
        <v>199</v>
      </c>
      <c r="F28" s="5" t="s">
        <v>2</v>
      </c>
      <c r="G28" s="6" t="s">
        <v>200</v>
      </c>
      <c r="H28" s="6" t="s">
        <v>201</v>
      </c>
      <c r="I28" s="6" t="s">
        <v>202</v>
      </c>
      <c r="J28" s="6">
        <v>2022</v>
      </c>
      <c r="K28" s="5" t="s">
        <v>203</v>
      </c>
    </row>
    <row r="29" spans="1:11" x14ac:dyDescent="0.25">
      <c r="A29" s="5" t="s">
        <v>204</v>
      </c>
      <c r="B29" s="6" t="s">
        <v>205</v>
      </c>
      <c r="C29" s="5" t="s">
        <v>197</v>
      </c>
      <c r="D29" s="5" t="s">
        <v>198</v>
      </c>
      <c r="E29" s="5" t="s">
        <v>206</v>
      </c>
      <c r="F29" s="5" t="s">
        <v>2</v>
      </c>
      <c r="G29" s="6" t="s">
        <v>200</v>
      </c>
      <c r="H29" s="6" t="s">
        <v>207</v>
      </c>
      <c r="I29" s="6" t="s">
        <v>208</v>
      </c>
      <c r="J29" s="6">
        <v>2022</v>
      </c>
      <c r="K29" s="5" t="s">
        <v>209</v>
      </c>
    </row>
    <row r="30" spans="1:11" x14ac:dyDescent="0.25">
      <c r="A30" s="5" t="s">
        <v>210</v>
      </c>
      <c r="B30" s="6" t="s">
        <v>211</v>
      </c>
      <c r="C30" s="5" t="s">
        <v>197</v>
      </c>
      <c r="D30" s="5" t="s">
        <v>198</v>
      </c>
      <c r="E30" s="5" t="s">
        <v>206</v>
      </c>
      <c r="F30" s="5" t="s">
        <v>2</v>
      </c>
      <c r="G30" s="6" t="s">
        <v>200</v>
      </c>
      <c r="H30" s="6" t="s">
        <v>207</v>
      </c>
      <c r="I30" s="6" t="s">
        <v>212</v>
      </c>
      <c r="J30" s="6">
        <v>2022</v>
      </c>
      <c r="K30" s="5" t="s">
        <v>213</v>
      </c>
    </row>
    <row r="31" spans="1:11" x14ac:dyDescent="0.25">
      <c r="A31" s="5" t="s">
        <v>214</v>
      </c>
      <c r="B31" s="6" t="s">
        <v>215</v>
      </c>
      <c r="C31" s="5" t="s">
        <v>197</v>
      </c>
      <c r="D31" s="5" t="s">
        <v>198</v>
      </c>
      <c r="E31" s="5" t="s">
        <v>206</v>
      </c>
      <c r="F31" s="5" t="s">
        <v>2</v>
      </c>
      <c r="G31" s="6" t="s">
        <v>200</v>
      </c>
      <c r="H31" s="6" t="s">
        <v>207</v>
      </c>
      <c r="I31" s="6" t="s">
        <v>216</v>
      </c>
      <c r="J31" s="6">
        <v>2022</v>
      </c>
      <c r="K31" s="5" t="s">
        <v>217</v>
      </c>
    </row>
    <row r="32" spans="1:11" x14ac:dyDescent="0.25">
      <c r="A32" s="5" t="s">
        <v>218</v>
      </c>
      <c r="B32" s="6" t="s">
        <v>219</v>
      </c>
      <c r="C32" s="5" t="s">
        <v>66</v>
      </c>
      <c r="D32" s="5" t="s">
        <v>198</v>
      </c>
      <c r="E32" s="5" t="s">
        <v>220</v>
      </c>
      <c r="F32" s="5" t="s">
        <v>2</v>
      </c>
      <c r="G32" s="6" t="s">
        <v>68</v>
      </c>
      <c r="H32" s="6" t="s">
        <v>221</v>
      </c>
      <c r="I32" s="6" t="s">
        <v>222</v>
      </c>
      <c r="J32" s="6">
        <v>2022</v>
      </c>
      <c r="K32" s="5" t="s">
        <v>223</v>
      </c>
    </row>
    <row r="33" spans="1:11" x14ac:dyDescent="0.25">
      <c r="A33" s="5" t="s">
        <v>224</v>
      </c>
      <c r="B33" s="6" t="s">
        <v>225</v>
      </c>
      <c r="C33" s="5" t="s">
        <v>226</v>
      </c>
      <c r="D33" s="5" t="s">
        <v>227</v>
      </c>
      <c r="E33" s="5" t="s">
        <v>228</v>
      </c>
      <c r="F33" s="5" t="s">
        <v>2</v>
      </c>
      <c r="G33" s="6" t="s">
        <v>229</v>
      </c>
      <c r="H33" s="6" t="s">
        <v>230</v>
      </c>
      <c r="I33" s="6" t="s">
        <v>231</v>
      </c>
      <c r="J33" s="6">
        <v>2024</v>
      </c>
      <c r="K33" s="5" t="s">
        <v>232</v>
      </c>
    </row>
    <row r="34" spans="1:11" x14ac:dyDescent="0.25">
      <c r="A34" s="5" t="s">
        <v>233</v>
      </c>
      <c r="B34" s="6" t="s">
        <v>234</v>
      </c>
      <c r="C34" s="5" t="s">
        <v>226</v>
      </c>
      <c r="D34" s="5" t="s">
        <v>227</v>
      </c>
      <c r="E34" s="5" t="s">
        <v>228</v>
      </c>
      <c r="F34" s="5" t="s">
        <v>2</v>
      </c>
      <c r="G34" s="6" t="s">
        <v>229</v>
      </c>
      <c r="H34" s="6" t="s">
        <v>230</v>
      </c>
      <c r="I34" s="6" t="s">
        <v>235</v>
      </c>
      <c r="J34" s="6">
        <v>2024</v>
      </c>
      <c r="K34" s="5" t="s">
        <v>236</v>
      </c>
    </row>
    <row r="35" spans="1:11" x14ac:dyDescent="0.25">
      <c r="A35" s="5" t="s">
        <v>237</v>
      </c>
      <c r="B35" s="6" t="s">
        <v>238</v>
      </c>
      <c r="C35" s="5" t="s">
        <v>226</v>
      </c>
      <c r="D35" s="5" t="s">
        <v>227</v>
      </c>
      <c r="E35" s="5" t="s">
        <v>228</v>
      </c>
      <c r="F35" s="5" t="s">
        <v>2</v>
      </c>
      <c r="G35" s="6" t="s">
        <v>229</v>
      </c>
      <c r="H35" s="6" t="s">
        <v>230</v>
      </c>
      <c r="I35" s="6" t="s">
        <v>239</v>
      </c>
      <c r="J35" s="6">
        <v>2024</v>
      </c>
      <c r="K35" s="5" t="s">
        <v>240</v>
      </c>
    </row>
    <row r="36" spans="1:11" x14ac:dyDescent="0.25">
      <c r="A36" s="5" t="s">
        <v>241</v>
      </c>
      <c r="B36" s="6" t="s">
        <v>242</v>
      </c>
      <c r="C36" s="5" t="s">
        <v>226</v>
      </c>
      <c r="D36" s="5" t="s">
        <v>227</v>
      </c>
      <c r="E36" s="5" t="s">
        <v>228</v>
      </c>
      <c r="F36" s="5" t="s">
        <v>2</v>
      </c>
      <c r="G36" s="6" t="s">
        <v>229</v>
      </c>
      <c r="H36" s="6" t="s">
        <v>230</v>
      </c>
      <c r="I36" s="6" t="s">
        <v>243</v>
      </c>
      <c r="J36" s="6">
        <v>2024</v>
      </c>
      <c r="K36" s="5" t="s">
        <v>244</v>
      </c>
    </row>
    <row r="37" spans="1:11" x14ac:dyDescent="0.25">
      <c r="A37" s="5" t="s">
        <v>245</v>
      </c>
      <c r="B37" s="6" t="s">
        <v>246</v>
      </c>
      <c r="C37" s="5" t="s">
        <v>226</v>
      </c>
      <c r="D37" s="5" t="s">
        <v>227</v>
      </c>
      <c r="E37" s="5" t="s">
        <v>228</v>
      </c>
      <c r="F37" s="5" t="s">
        <v>2</v>
      </c>
      <c r="G37" s="6" t="s">
        <v>229</v>
      </c>
      <c r="H37" s="6" t="s">
        <v>230</v>
      </c>
      <c r="I37" s="6" t="s">
        <v>247</v>
      </c>
      <c r="J37" s="6">
        <v>2024</v>
      </c>
      <c r="K37" s="5" t="s">
        <v>248</v>
      </c>
    </row>
    <row r="38" spans="1:11" x14ac:dyDescent="0.25">
      <c r="A38" s="5" t="s">
        <v>249</v>
      </c>
      <c r="B38" s="6" t="s">
        <v>250</v>
      </c>
      <c r="C38" s="5" t="s">
        <v>226</v>
      </c>
      <c r="D38" s="5" t="s">
        <v>227</v>
      </c>
      <c r="E38" s="5" t="s">
        <v>251</v>
      </c>
      <c r="F38" s="5" t="s">
        <v>2</v>
      </c>
      <c r="G38" s="6" t="s">
        <v>229</v>
      </c>
      <c r="H38" s="6" t="s">
        <v>252</v>
      </c>
      <c r="I38" s="6" t="s">
        <v>253</v>
      </c>
      <c r="J38" s="6">
        <v>2024</v>
      </c>
      <c r="K38" s="5" t="s">
        <v>254</v>
      </c>
    </row>
    <row r="39" spans="1:11" x14ac:dyDescent="0.25">
      <c r="A39" s="5" t="s">
        <v>255</v>
      </c>
      <c r="B39" s="6" t="s">
        <v>256</v>
      </c>
      <c r="C39" s="5" t="s">
        <v>226</v>
      </c>
      <c r="D39" s="5" t="s">
        <v>227</v>
      </c>
      <c r="E39" s="5" t="s">
        <v>257</v>
      </c>
      <c r="F39" s="5" t="s">
        <v>2</v>
      </c>
      <c r="G39" s="6" t="s">
        <v>229</v>
      </c>
      <c r="H39" s="6" t="s">
        <v>258</v>
      </c>
      <c r="I39" s="6" t="s">
        <v>259</v>
      </c>
      <c r="J39" s="6">
        <v>2024</v>
      </c>
      <c r="K39" s="5" t="s">
        <v>260</v>
      </c>
    </row>
    <row r="40" spans="1:11" x14ac:dyDescent="0.25">
      <c r="A40" s="5" t="s">
        <v>261</v>
      </c>
      <c r="B40" s="6" t="s">
        <v>262</v>
      </c>
      <c r="C40" s="5" t="s">
        <v>226</v>
      </c>
      <c r="D40" s="5" t="s">
        <v>227</v>
      </c>
      <c r="E40" s="5" t="s">
        <v>257</v>
      </c>
      <c r="F40" s="5" t="s">
        <v>2</v>
      </c>
      <c r="G40" s="6" t="s">
        <v>229</v>
      </c>
      <c r="H40" s="6" t="s">
        <v>258</v>
      </c>
      <c r="I40" s="6" t="s">
        <v>263</v>
      </c>
      <c r="J40" s="6">
        <v>2024</v>
      </c>
      <c r="K40" s="5" t="s">
        <v>264</v>
      </c>
    </row>
    <row r="41" spans="1:11" x14ac:dyDescent="0.25">
      <c r="A41" s="5" t="s">
        <v>265</v>
      </c>
      <c r="B41" s="6" t="s">
        <v>266</v>
      </c>
      <c r="C41" s="5" t="s">
        <v>226</v>
      </c>
      <c r="D41" s="5" t="s">
        <v>227</v>
      </c>
      <c r="E41" s="5" t="s">
        <v>257</v>
      </c>
      <c r="F41" s="5" t="s">
        <v>2</v>
      </c>
      <c r="G41" s="6" t="s">
        <v>229</v>
      </c>
      <c r="H41" s="6" t="s">
        <v>258</v>
      </c>
      <c r="I41" s="6" t="s">
        <v>267</v>
      </c>
      <c r="J41" s="6">
        <v>2024</v>
      </c>
      <c r="K41" s="5" t="s">
        <v>268</v>
      </c>
    </row>
    <row r="42" spans="1:11" x14ac:dyDescent="0.25">
      <c r="A42" s="5" t="s">
        <v>269</v>
      </c>
      <c r="B42" s="6" t="s">
        <v>270</v>
      </c>
      <c r="C42" s="5" t="s">
        <v>66</v>
      </c>
      <c r="D42" s="5" t="s">
        <v>271</v>
      </c>
      <c r="E42" s="5" t="s">
        <v>272</v>
      </c>
      <c r="F42" s="5" t="s">
        <v>2</v>
      </c>
      <c r="G42" s="6" t="s">
        <v>68</v>
      </c>
      <c r="H42" s="6" t="s">
        <v>273</v>
      </c>
      <c r="I42" s="6" t="s">
        <v>274</v>
      </c>
      <c r="J42" s="6">
        <v>2024</v>
      </c>
      <c r="K42" s="5" t="s">
        <v>275</v>
      </c>
    </row>
    <row r="43" spans="1:11" x14ac:dyDescent="0.25">
      <c r="A43" s="5" t="s">
        <v>276</v>
      </c>
      <c r="B43" s="6" t="s">
        <v>277</v>
      </c>
      <c r="C43" s="5" t="s">
        <v>66</v>
      </c>
      <c r="D43" s="5" t="s">
        <v>271</v>
      </c>
      <c r="E43" s="5" t="s">
        <v>67</v>
      </c>
      <c r="F43" s="5" t="s">
        <v>2</v>
      </c>
      <c r="G43" s="6" t="s">
        <v>68</v>
      </c>
      <c r="H43" s="6" t="s">
        <v>184</v>
      </c>
      <c r="I43" s="6" t="s">
        <v>278</v>
      </c>
      <c r="J43" s="6">
        <v>2024</v>
      </c>
      <c r="K43" s="5" t="s">
        <v>279</v>
      </c>
    </row>
    <row r="44" spans="1:11" x14ac:dyDescent="0.25">
      <c r="A44" s="5" t="s">
        <v>280</v>
      </c>
      <c r="B44" s="6" t="s">
        <v>281</v>
      </c>
      <c r="C44" s="5" t="s">
        <v>66</v>
      </c>
      <c r="D44" s="5" t="s">
        <v>271</v>
      </c>
      <c r="E44" s="5" t="s">
        <v>67</v>
      </c>
      <c r="F44" s="5" t="s">
        <v>2</v>
      </c>
      <c r="G44" s="6" t="s">
        <v>68</v>
      </c>
      <c r="H44" s="6" t="s">
        <v>282</v>
      </c>
      <c r="I44" s="6" t="s">
        <v>283</v>
      </c>
      <c r="J44" s="6">
        <v>2024</v>
      </c>
      <c r="K44" s="5" t="s">
        <v>284</v>
      </c>
    </row>
    <row r="45" spans="1:11" x14ac:dyDescent="0.25">
      <c r="A45" s="5" t="s">
        <v>285</v>
      </c>
      <c r="B45" s="6" t="s">
        <v>286</v>
      </c>
      <c r="C45" s="5" t="s">
        <v>287</v>
      </c>
      <c r="D45" s="5" t="s">
        <v>271</v>
      </c>
      <c r="E45" s="5" t="s">
        <v>288</v>
      </c>
      <c r="F45" s="5" t="s">
        <v>2</v>
      </c>
      <c r="G45" s="6" t="s">
        <v>289</v>
      </c>
      <c r="H45" s="6" t="s">
        <v>290</v>
      </c>
      <c r="I45" s="6" t="s">
        <v>291</v>
      </c>
      <c r="J45" s="6">
        <v>2024</v>
      </c>
      <c r="K45" s="5" t="s">
        <v>292</v>
      </c>
    </row>
    <row r="46" spans="1:11" x14ac:dyDescent="0.25">
      <c r="A46" s="5" t="s">
        <v>293</v>
      </c>
      <c r="B46" s="6" t="s">
        <v>294</v>
      </c>
      <c r="C46" s="5" t="s">
        <v>58</v>
      </c>
      <c r="D46" s="5" t="s">
        <v>271</v>
      </c>
      <c r="E46" s="5" t="s">
        <v>150</v>
      </c>
      <c r="F46" s="5" t="s">
        <v>285</v>
      </c>
      <c r="G46" s="6" t="s">
        <v>60</v>
      </c>
      <c r="H46" s="6" t="s">
        <v>295</v>
      </c>
      <c r="I46" s="6" t="s">
        <v>296</v>
      </c>
      <c r="J46" s="6">
        <v>2024</v>
      </c>
      <c r="K46" s="5" t="s">
        <v>297</v>
      </c>
    </row>
    <row r="47" spans="1:11" x14ac:dyDescent="0.25">
      <c r="A47" s="5" t="s">
        <v>298</v>
      </c>
      <c r="B47" s="6" t="s">
        <v>299</v>
      </c>
      <c r="C47" s="5" t="s">
        <v>287</v>
      </c>
      <c r="D47" s="5" t="s">
        <v>271</v>
      </c>
      <c r="E47" s="5" t="s">
        <v>288</v>
      </c>
      <c r="F47" s="5" t="s">
        <v>2</v>
      </c>
      <c r="G47" s="6" t="s">
        <v>289</v>
      </c>
      <c r="H47" s="6" t="s">
        <v>300</v>
      </c>
      <c r="I47" s="6" t="s">
        <v>301</v>
      </c>
      <c r="J47" s="6">
        <v>2024</v>
      </c>
      <c r="K47" s="5" t="s">
        <v>302</v>
      </c>
    </row>
    <row r="48" spans="1:11" x14ac:dyDescent="0.25">
      <c r="A48" s="5" t="s">
        <v>303</v>
      </c>
      <c r="B48" s="6" t="s">
        <v>304</v>
      </c>
      <c r="C48" s="5" t="s">
        <v>58</v>
      </c>
      <c r="D48" s="5" t="s">
        <v>271</v>
      </c>
      <c r="E48" s="5" t="s">
        <v>305</v>
      </c>
      <c r="F48" s="5" t="s">
        <v>298</v>
      </c>
      <c r="G48" s="6" t="s">
        <v>60</v>
      </c>
      <c r="H48" s="6" t="s">
        <v>306</v>
      </c>
      <c r="I48" s="6" t="s">
        <v>307</v>
      </c>
      <c r="J48" s="6">
        <v>2024</v>
      </c>
      <c r="K48" s="5" t="s">
        <v>308</v>
      </c>
    </row>
    <row r="49" spans="1:11" x14ac:dyDescent="0.25">
      <c r="A49" s="5" t="s">
        <v>309</v>
      </c>
      <c r="B49" s="6" t="s">
        <v>310</v>
      </c>
      <c r="C49" s="5" t="s">
        <v>287</v>
      </c>
      <c r="D49" s="5" t="s">
        <v>271</v>
      </c>
      <c r="E49" s="5" t="s">
        <v>288</v>
      </c>
      <c r="F49" s="5" t="s">
        <v>2</v>
      </c>
      <c r="G49" s="6" t="s">
        <v>289</v>
      </c>
      <c r="H49" s="6" t="s">
        <v>311</v>
      </c>
      <c r="I49" s="6" t="s">
        <v>312</v>
      </c>
      <c r="J49" s="6">
        <v>2024</v>
      </c>
      <c r="K49" s="5" t="s">
        <v>313</v>
      </c>
    </row>
    <row r="50" spans="1:11" x14ac:dyDescent="0.25">
      <c r="A50" s="5" t="s">
        <v>314</v>
      </c>
      <c r="B50" s="6" t="s">
        <v>315</v>
      </c>
      <c r="C50" s="5" t="s">
        <v>58</v>
      </c>
      <c r="D50" s="5" t="s">
        <v>271</v>
      </c>
      <c r="E50" s="5" t="s">
        <v>150</v>
      </c>
      <c r="F50" s="5" t="s">
        <v>309</v>
      </c>
      <c r="G50" s="6" t="s">
        <v>60</v>
      </c>
      <c r="H50" s="6" t="s">
        <v>295</v>
      </c>
      <c r="I50" s="6" t="s">
        <v>316</v>
      </c>
      <c r="J50" s="6">
        <v>2024</v>
      </c>
      <c r="K50" s="5" t="s">
        <v>317</v>
      </c>
    </row>
    <row r="51" spans="1:11" x14ac:dyDescent="0.25">
      <c r="A51" s="5" t="s">
        <v>318</v>
      </c>
      <c r="B51" s="6" t="s">
        <v>319</v>
      </c>
      <c r="C51" s="5" t="s">
        <v>287</v>
      </c>
      <c r="D51" s="5" t="s">
        <v>271</v>
      </c>
      <c r="E51" s="5" t="s">
        <v>288</v>
      </c>
      <c r="F51" s="5" t="s">
        <v>2</v>
      </c>
      <c r="G51" s="6" t="s">
        <v>289</v>
      </c>
      <c r="H51" s="6" t="s">
        <v>320</v>
      </c>
      <c r="I51" s="6" t="s">
        <v>321</v>
      </c>
      <c r="J51" s="6">
        <v>2024</v>
      </c>
      <c r="K51" s="5" t="s">
        <v>322</v>
      </c>
    </row>
    <row r="52" spans="1:11" x14ac:dyDescent="0.25">
      <c r="A52" s="5" t="s">
        <v>323</v>
      </c>
      <c r="B52" s="6" t="s">
        <v>324</v>
      </c>
      <c r="C52" s="5" t="s">
        <v>325</v>
      </c>
      <c r="D52" s="5" t="s">
        <v>271</v>
      </c>
      <c r="E52" s="5" t="s">
        <v>288</v>
      </c>
      <c r="F52" s="5" t="s">
        <v>2</v>
      </c>
      <c r="G52" s="6" t="s">
        <v>326</v>
      </c>
      <c r="H52" s="6" t="s">
        <v>327</v>
      </c>
      <c r="I52" s="6" t="s">
        <v>328</v>
      </c>
      <c r="J52" s="6">
        <v>2024</v>
      </c>
      <c r="K52" s="5" t="s">
        <v>329</v>
      </c>
    </row>
    <row r="53" spans="1:11" x14ac:dyDescent="0.25">
      <c r="A53" s="5" t="s">
        <v>330</v>
      </c>
      <c r="B53" s="6" t="s">
        <v>331</v>
      </c>
      <c r="C53" s="5" t="s">
        <v>287</v>
      </c>
      <c r="D53" s="5" t="s">
        <v>271</v>
      </c>
      <c r="E53" s="5" t="s">
        <v>288</v>
      </c>
      <c r="F53" s="5" t="s">
        <v>2</v>
      </c>
      <c r="G53" s="6" t="s">
        <v>289</v>
      </c>
      <c r="H53" s="6" t="s">
        <v>332</v>
      </c>
      <c r="I53" s="6" t="s">
        <v>333</v>
      </c>
      <c r="J53" s="6">
        <v>2024</v>
      </c>
      <c r="K53" s="5" t="s">
        <v>334</v>
      </c>
    </row>
    <row r="54" spans="1:11" x14ac:dyDescent="0.25">
      <c r="A54" s="5" t="s">
        <v>335</v>
      </c>
      <c r="B54" s="6" t="s">
        <v>336</v>
      </c>
      <c r="C54" s="5" t="s">
        <v>58</v>
      </c>
      <c r="D54" s="5" t="s">
        <v>271</v>
      </c>
      <c r="E54" s="5" t="s">
        <v>150</v>
      </c>
      <c r="F54" s="5" t="s">
        <v>330</v>
      </c>
      <c r="G54" s="6" t="s">
        <v>337</v>
      </c>
      <c r="H54" s="6" t="s">
        <v>338</v>
      </c>
      <c r="I54" s="6" t="s">
        <v>339</v>
      </c>
      <c r="J54" s="6">
        <v>2024</v>
      </c>
      <c r="K54" s="5" t="s">
        <v>340</v>
      </c>
    </row>
    <row r="55" spans="1:11" x14ac:dyDescent="0.25">
      <c r="A55" s="5" t="s">
        <v>341</v>
      </c>
      <c r="B55" s="6" t="s">
        <v>342</v>
      </c>
      <c r="C55" s="5" t="s">
        <v>287</v>
      </c>
      <c r="D55" s="5" t="s">
        <v>271</v>
      </c>
      <c r="E55" s="5" t="s">
        <v>288</v>
      </c>
      <c r="F55" s="5" t="s">
        <v>2</v>
      </c>
      <c r="G55" s="6" t="s">
        <v>289</v>
      </c>
      <c r="H55" s="6" t="s">
        <v>343</v>
      </c>
      <c r="I55" s="6" t="s">
        <v>344</v>
      </c>
      <c r="J55" s="6">
        <v>2024</v>
      </c>
      <c r="K55" s="5" t="s">
        <v>345</v>
      </c>
    </row>
    <row r="56" spans="1:11" x14ac:dyDescent="0.25">
      <c r="A56" s="5" t="s">
        <v>346</v>
      </c>
      <c r="B56" s="6" t="s">
        <v>347</v>
      </c>
      <c r="C56" s="5" t="s">
        <v>58</v>
      </c>
      <c r="D56" s="5" t="s">
        <v>271</v>
      </c>
      <c r="E56" s="5" t="s">
        <v>150</v>
      </c>
      <c r="F56" s="5" t="s">
        <v>341</v>
      </c>
      <c r="G56" s="6" t="s">
        <v>60</v>
      </c>
      <c r="H56" s="6" t="s">
        <v>295</v>
      </c>
      <c r="I56" s="6" t="s">
        <v>348</v>
      </c>
      <c r="J56" s="6">
        <v>2024</v>
      </c>
      <c r="K56" s="5" t="s">
        <v>349</v>
      </c>
    </row>
    <row r="57" spans="1:11" x14ac:dyDescent="0.25">
      <c r="A57" s="5" t="s">
        <v>350</v>
      </c>
      <c r="B57" s="6" t="s">
        <v>351</v>
      </c>
      <c r="C57" s="5" t="s">
        <v>352</v>
      </c>
      <c r="D57" s="5" t="s">
        <v>271</v>
      </c>
      <c r="E57" s="5" t="s">
        <v>150</v>
      </c>
      <c r="F57" s="5" t="s">
        <v>2</v>
      </c>
      <c r="G57" s="6" t="s">
        <v>60</v>
      </c>
      <c r="H57" s="6" t="s">
        <v>353</v>
      </c>
      <c r="I57" s="6" t="s">
        <v>354</v>
      </c>
      <c r="J57" s="6">
        <v>2024</v>
      </c>
      <c r="K57" s="5" t="s">
        <v>355</v>
      </c>
    </row>
    <row r="58" spans="1:11" x14ac:dyDescent="0.25">
      <c r="A58" s="5" t="s">
        <v>356</v>
      </c>
      <c r="B58" s="6" t="s">
        <v>357</v>
      </c>
      <c r="C58" s="5" t="s">
        <v>352</v>
      </c>
      <c r="D58" s="5" t="s">
        <v>271</v>
      </c>
      <c r="E58" s="5" t="s">
        <v>358</v>
      </c>
      <c r="F58" s="5" t="s">
        <v>2</v>
      </c>
      <c r="G58" s="6" t="s">
        <v>359</v>
      </c>
      <c r="H58" s="6" t="s">
        <v>360</v>
      </c>
      <c r="I58" s="6" t="s">
        <v>361</v>
      </c>
      <c r="J58" s="6">
        <v>2024</v>
      </c>
      <c r="K58" s="5" t="s">
        <v>362</v>
      </c>
    </row>
    <row r="59" spans="1:11" x14ac:dyDescent="0.25">
      <c r="A59" s="5" t="s">
        <v>363</v>
      </c>
      <c r="B59" s="6" t="s">
        <v>364</v>
      </c>
      <c r="C59" s="5" t="s">
        <v>325</v>
      </c>
      <c r="D59" s="5" t="s">
        <v>365</v>
      </c>
      <c r="E59" s="5" t="s">
        <v>366</v>
      </c>
      <c r="F59" s="5" t="s">
        <v>2</v>
      </c>
      <c r="G59" s="6" t="s">
        <v>367</v>
      </c>
      <c r="H59" s="6" t="s">
        <v>368</v>
      </c>
      <c r="I59" s="6" t="s">
        <v>369</v>
      </c>
      <c r="J59" s="6">
        <v>2023</v>
      </c>
      <c r="K59" s="5" t="s">
        <v>370</v>
      </c>
    </row>
    <row r="60" spans="1:11" x14ac:dyDescent="0.25">
      <c r="A60" s="5" t="s">
        <v>371</v>
      </c>
      <c r="B60" s="6" t="s">
        <v>372</v>
      </c>
      <c r="C60" s="5" t="s">
        <v>373</v>
      </c>
      <c r="D60" s="5" t="s">
        <v>373</v>
      </c>
      <c r="E60" s="5" t="s">
        <v>374</v>
      </c>
      <c r="F60" s="5" t="s">
        <v>2</v>
      </c>
      <c r="G60" s="6" t="s">
        <v>375</v>
      </c>
      <c r="H60" s="6" t="s">
        <v>376</v>
      </c>
      <c r="I60" s="6" t="s">
        <v>377</v>
      </c>
      <c r="J60" s="6">
        <v>2021</v>
      </c>
      <c r="K60" s="5" t="s">
        <v>378</v>
      </c>
    </row>
    <row r="61" spans="1:11" x14ac:dyDescent="0.25">
      <c r="A61" s="5" t="s">
        <v>379</v>
      </c>
      <c r="B61" s="6" t="s">
        <v>380</v>
      </c>
      <c r="C61" s="5" t="s">
        <v>373</v>
      </c>
      <c r="D61" s="5" t="s">
        <v>373</v>
      </c>
      <c r="E61" s="5" t="s">
        <v>374</v>
      </c>
      <c r="F61" s="5" t="s">
        <v>2</v>
      </c>
      <c r="G61" s="6" t="s">
        <v>375</v>
      </c>
      <c r="H61" s="6" t="s">
        <v>376</v>
      </c>
      <c r="I61" s="6" t="s">
        <v>381</v>
      </c>
      <c r="J61" s="6">
        <v>2021</v>
      </c>
      <c r="K61" s="5" t="s">
        <v>382</v>
      </c>
    </row>
    <row r="62" spans="1:11" x14ac:dyDescent="0.25">
      <c r="A62" s="5" t="s">
        <v>383</v>
      </c>
      <c r="B62" s="6" t="s">
        <v>384</v>
      </c>
      <c r="C62" s="5" t="s">
        <v>373</v>
      </c>
      <c r="D62" s="5" t="s">
        <v>373</v>
      </c>
      <c r="E62" s="5" t="s">
        <v>385</v>
      </c>
      <c r="F62" s="5" t="s">
        <v>2</v>
      </c>
      <c r="G62" s="6" t="s">
        <v>386</v>
      </c>
      <c r="H62" s="6" t="s">
        <v>387</v>
      </c>
      <c r="I62" s="6" t="s">
        <v>388</v>
      </c>
      <c r="J62" s="6">
        <v>2022</v>
      </c>
      <c r="K62" s="5" t="s">
        <v>389</v>
      </c>
    </row>
    <row r="63" spans="1:11" x14ac:dyDescent="0.25">
      <c r="A63" s="5" t="s">
        <v>390</v>
      </c>
      <c r="B63" s="6" t="s">
        <v>391</v>
      </c>
      <c r="C63" s="5" t="s">
        <v>373</v>
      </c>
      <c r="D63" s="5" t="s">
        <v>373</v>
      </c>
      <c r="E63" s="5" t="s">
        <v>392</v>
      </c>
      <c r="F63" s="5" t="s">
        <v>2</v>
      </c>
      <c r="G63" s="6" t="s">
        <v>393</v>
      </c>
      <c r="H63" s="6" t="s">
        <v>394</v>
      </c>
      <c r="I63" s="6" t="s">
        <v>395</v>
      </c>
      <c r="J63" s="6">
        <v>2019</v>
      </c>
      <c r="K63" s="5" t="s">
        <v>396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B36B"/>
  </sheetPr>
  <dimension ref="A1:X6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3" width="13" customWidth="1"/>
    <col min="4" max="4" width="30" customWidth="1"/>
    <col min="5" max="6" width="13" customWidth="1"/>
    <col min="7" max="7" width="11" customWidth="1"/>
    <col min="8" max="8" width="10" style="7" customWidth="1"/>
    <col min="9" max="10" width="12" customWidth="1"/>
    <col min="11" max="12" width="11" customWidth="1"/>
    <col min="13" max="14" width="12" customWidth="1"/>
    <col min="15" max="17" width="10" customWidth="1"/>
    <col min="18" max="18" width="12" customWidth="1"/>
    <col min="19" max="19" width="10" customWidth="1"/>
    <col min="20" max="20" width="14" customWidth="1"/>
    <col min="21" max="22" width="15" customWidth="1"/>
    <col min="23" max="23" width="12" customWidth="1"/>
    <col min="24" max="24" width="36" customWidth="1"/>
  </cols>
  <sheetData>
    <row r="1" ht="30" customHeight="1" spans="1:24" x14ac:dyDescent="0.25">
      <c r="A1" s="4" t="s">
        <v>36</v>
      </c>
      <c r="B1" s="4" t="s">
        <v>397</v>
      </c>
      <c r="C1" s="4" t="s">
        <v>398</v>
      </c>
      <c r="D1" s="4" t="s">
        <v>399</v>
      </c>
      <c r="E1" s="4" t="s">
        <v>400</v>
      </c>
      <c r="F1" s="4" t="s">
        <v>401</v>
      </c>
      <c r="G1" s="4" t="s">
        <v>402</v>
      </c>
      <c r="H1" s="8" t="s">
        <v>403</v>
      </c>
      <c r="I1" s="4" t="s">
        <v>404</v>
      </c>
      <c r="J1" s="4" t="s">
        <v>405</v>
      </c>
      <c r="K1" s="4" t="s">
        <v>406</v>
      </c>
      <c r="L1" s="4" t="s">
        <v>407</v>
      </c>
      <c r="M1" s="4" t="s">
        <v>408</v>
      </c>
      <c r="N1" s="4" t="s">
        <v>409</v>
      </c>
      <c r="O1" s="4" t="s">
        <v>410</v>
      </c>
      <c r="P1" s="4" t="s">
        <v>411</v>
      </c>
      <c r="Q1" s="4" t="s">
        <v>412</v>
      </c>
      <c r="R1" s="4" t="s">
        <v>413</v>
      </c>
      <c r="S1" s="4" t="s">
        <v>414</v>
      </c>
      <c r="T1" s="4" t="s">
        <v>415</v>
      </c>
      <c r="U1" s="4" t="s">
        <v>416</v>
      </c>
      <c r="V1" s="4" t="s">
        <v>417</v>
      </c>
      <c r="W1" s="4" t="s">
        <v>418</v>
      </c>
      <c r="X1" s="4" t="s">
        <v>419</v>
      </c>
    </row>
    <row r="2" spans="1:24" x14ac:dyDescent="0.25">
      <c r="A2" s="5" t="s">
        <v>47</v>
      </c>
      <c r="B2" s="6" t="s">
        <v>420</v>
      </c>
      <c r="C2" s="6" t="s">
        <v>421</v>
      </c>
      <c r="D2" s="6" t="s">
        <v>422</v>
      </c>
      <c r="E2" s="6">
        <v>94</v>
      </c>
      <c r="F2" s="6">
        <v>92</v>
      </c>
      <c r="G2" s="6">
        <v>99.2</v>
      </c>
      <c r="H2" s="9">
        <f>ROUND(E2*F2*G2/10000,1)</f>
        <v>85.8</v>
      </c>
      <c r="I2" s="6">
        <v>240</v>
      </c>
      <c r="J2" s="6">
        <v>220</v>
      </c>
      <c r="K2" s="6">
        <v>60</v>
      </c>
      <c r="L2" s="6">
        <v>65</v>
      </c>
      <c r="M2" s="6">
        <v>1650</v>
      </c>
      <c r="N2" s="6">
        <v>13</v>
      </c>
      <c r="O2" s="6">
        <v>210</v>
      </c>
      <c r="P2" s="6">
        <v>32</v>
      </c>
      <c r="Q2" s="6">
        <v>44</v>
      </c>
      <c r="R2" s="6">
        <v>330</v>
      </c>
      <c r="S2" s="6" t="s">
        <v>2</v>
      </c>
      <c r="T2" s="6" t="s">
        <v>423</v>
      </c>
      <c r="U2" s="6" t="s">
        <v>424</v>
      </c>
      <c r="V2" s="6" t="s">
        <v>425</v>
      </c>
      <c r="W2" s="6" t="s">
        <v>2</v>
      </c>
      <c r="X2" s="6" t="s">
        <v>2</v>
      </c>
    </row>
    <row r="3" spans="1:24" x14ac:dyDescent="0.25">
      <c r="A3" s="5" t="s">
        <v>56</v>
      </c>
      <c r="B3" s="6" t="s">
        <v>420</v>
      </c>
      <c r="C3" s="6" t="s">
        <v>426</v>
      </c>
      <c r="D3" s="6" t="s">
        <v>427</v>
      </c>
      <c r="E3" s="6">
        <v>98</v>
      </c>
      <c r="F3" s="6">
        <v>95</v>
      </c>
      <c r="G3" s="6">
        <v>100</v>
      </c>
      <c r="H3" s="9">
        <f>ROUND(E3*F3*G3/10000,1)</f>
        <v>93.1</v>
      </c>
      <c r="I3" s="6">
        <v>240</v>
      </c>
      <c r="J3" s="6">
        <v>222</v>
      </c>
      <c r="K3" s="6">
        <v>60</v>
      </c>
      <c r="L3" s="6">
        <v>65</v>
      </c>
      <c r="M3" s="6">
        <v>1663</v>
      </c>
      <c r="N3" s="6">
        <v>0</v>
      </c>
      <c r="O3" s="6">
        <v>950</v>
      </c>
      <c r="P3" s="6">
        <v>15</v>
      </c>
      <c r="Q3" s="6">
        <v>1.8</v>
      </c>
      <c r="R3" s="6">
        <v>12</v>
      </c>
      <c r="S3" s="6" t="s">
        <v>2</v>
      </c>
      <c r="T3" s="6" t="s">
        <v>428</v>
      </c>
      <c r="U3" s="6" t="s">
        <v>424</v>
      </c>
      <c r="V3" s="6" t="s">
        <v>425</v>
      </c>
      <c r="W3" s="6" t="s">
        <v>2</v>
      </c>
      <c r="X3" s="6" t="s">
        <v>2</v>
      </c>
    </row>
    <row r="4" spans="1:24" x14ac:dyDescent="0.25">
      <c r="A4" s="5" t="s">
        <v>64</v>
      </c>
      <c r="B4" s="6" t="s">
        <v>420</v>
      </c>
      <c r="C4" s="6" t="s">
        <v>426</v>
      </c>
      <c r="D4" s="6" t="s">
        <v>2</v>
      </c>
      <c r="E4" s="6">
        <v>99</v>
      </c>
      <c r="F4" s="6">
        <v>97</v>
      </c>
      <c r="G4" s="6">
        <v>100</v>
      </c>
      <c r="H4" s="9">
        <f>ROUND(E4*F4*G4/10000,1)</f>
        <v>96</v>
      </c>
      <c r="I4" s="6">
        <v>240</v>
      </c>
      <c r="J4" s="6">
        <v>220</v>
      </c>
      <c r="K4" s="6">
        <v>60</v>
      </c>
      <c r="L4" s="6">
        <v>66</v>
      </c>
      <c r="M4" s="6">
        <v>1650</v>
      </c>
      <c r="N4" s="6">
        <v>0</v>
      </c>
      <c r="O4" s="6">
        <v>2400</v>
      </c>
      <c r="P4" s="6">
        <v>20</v>
      </c>
      <c r="Q4" s="6">
        <v>0.4</v>
      </c>
      <c r="R4" s="6">
        <v>3</v>
      </c>
      <c r="S4" s="6" t="s">
        <v>2</v>
      </c>
      <c r="T4" s="6" t="s">
        <v>428</v>
      </c>
      <c r="U4" s="6" t="s">
        <v>424</v>
      </c>
      <c r="V4" s="6" t="s">
        <v>425</v>
      </c>
      <c r="W4" s="6" t="s">
        <v>2</v>
      </c>
      <c r="X4" s="6" t="s">
        <v>2</v>
      </c>
    </row>
    <row r="5" spans="1:24" x14ac:dyDescent="0.25">
      <c r="A5" s="5" t="s">
        <v>72</v>
      </c>
      <c r="B5" s="6" t="s">
        <v>420</v>
      </c>
      <c r="C5" s="6" t="s">
        <v>429</v>
      </c>
      <c r="D5" s="6" t="s">
        <v>422</v>
      </c>
      <c r="E5" s="6">
        <v>91</v>
      </c>
      <c r="F5" s="6">
        <v>89</v>
      </c>
      <c r="G5" s="6">
        <v>98.6</v>
      </c>
      <c r="H5" s="9">
        <f>ROUND(E5*F5*G5/10000,1)</f>
        <v>79.9</v>
      </c>
      <c r="I5" s="6">
        <v>240</v>
      </c>
      <c r="J5" s="6">
        <v>212</v>
      </c>
      <c r="K5" s="6">
        <v>60</v>
      </c>
      <c r="L5" s="6">
        <v>68</v>
      </c>
      <c r="M5" s="6">
        <v>1590</v>
      </c>
      <c r="N5" s="6">
        <v>22</v>
      </c>
      <c r="O5" s="6">
        <v>210</v>
      </c>
      <c r="P5" s="6">
        <v>32</v>
      </c>
      <c r="Q5" s="6">
        <v>44</v>
      </c>
      <c r="R5" s="6">
        <v>330</v>
      </c>
      <c r="S5" s="6" t="s">
        <v>2</v>
      </c>
      <c r="T5" s="6" t="s">
        <v>423</v>
      </c>
      <c r="U5" s="6" t="s">
        <v>424</v>
      </c>
      <c r="V5" s="6" t="s">
        <v>425</v>
      </c>
      <c r="W5" s="6" t="s">
        <v>2</v>
      </c>
      <c r="X5" s="6" t="s">
        <v>2</v>
      </c>
    </row>
    <row r="6" spans="1:24" x14ac:dyDescent="0.25">
      <c r="A6" s="5" t="s">
        <v>76</v>
      </c>
      <c r="B6" s="6" t="s">
        <v>420</v>
      </c>
      <c r="C6" s="6" t="s">
        <v>426</v>
      </c>
      <c r="D6" s="6" t="s">
        <v>427</v>
      </c>
      <c r="E6" s="6">
        <v>98</v>
      </c>
      <c r="F6" s="6">
        <v>95</v>
      </c>
      <c r="G6" s="6">
        <v>100</v>
      </c>
      <c r="H6" s="9">
        <f>ROUND(E6*F6*G6/10000,1)</f>
        <v>93.1</v>
      </c>
      <c r="I6" s="6">
        <v>240</v>
      </c>
      <c r="J6" s="6">
        <v>222</v>
      </c>
      <c r="K6" s="6">
        <v>60</v>
      </c>
      <c r="L6" s="6">
        <v>65</v>
      </c>
      <c r="M6" s="6">
        <v>1612</v>
      </c>
      <c r="N6" s="6">
        <v>0</v>
      </c>
      <c r="O6" s="6">
        <v>950</v>
      </c>
      <c r="P6" s="6">
        <v>15</v>
      </c>
      <c r="Q6" s="6">
        <v>1.8</v>
      </c>
      <c r="R6" s="6">
        <v>12</v>
      </c>
      <c r="S6" s="6" t="s">
        <v>2</v>
      </c>
      <c r="T6" s="6" t="s">
        <v>428</v>
      </c>
      <c r="U6" s="6" t="s">
        <v>424</v>
      </c>
      <c r="V6" s="6" t="s">
        <v>425</v>
      </c>
      <c r="W6" s="6" t="s">
        <v>2</v>
      </c>
      <c r="X6" s="6" t="s">
        <v>2</v>
      </c>
    </row>
    <row r="7" spans="1:24" x14ac:dyDescent="0.25">
      <c r="A7" s="5" t="s">
        <v>80</v>
      </c>
      <c r="B7" s="6" t="s">
        <v>420</v>
      </c>
      <c r="C7" s="6" t="s">
        <v>426</v>
      </c>
      <c r="D7" s="6" t="s">
        <v>2</v>
      </c>
      <c r="E7" s="6">
        <v>99</v>
      </c>
      <c r="F7" s="6">
        <v>97</v>
      </c>
      <c r="G7" s="6">
        <v>100</v>
      </c>
      <c r="H7" s="9">
        <f>ROUND(E7*F7*G7/10000,1)</f>
        <v>96</v>
      </c>
      <c r="I7" s="6">
        <v>240</v>
      </c>
      <c r="J7" s="6">
        <v>220</v>
      </c>
      <c r="K7" s="6">
        <v>60</v>
      </c>
      <c r="L7" s="6">
        <v>66</v>
      </c>
      <c r="M7" s="6">
        <v>1650</v>
      </c>
      <c r="N7" s="6">
        <v>0</v>
      </c>
      <c r="O7" s="6">
        <v>2400</v>
      </c>
      <c r="P7" s="6">
        <v>20</v>
      </c>
      <c r="Q7" s="6">
        <v>0.4</v>
      </c>
      <c r="R7" s="6">
        <v>3</v>
      </c>
      <c r="S7" s="6" t="s">
        <v>2</v>
      </c>
      <c r="T7" s="6" t="s">
        <v>428</v>
      </c>
      <c r="U7" s="6" t="s">
        <v>424</v>
      </c>
      <c r="V7" s="6" t="s">
        <v>425</v>
      </c>
      <c r="W7" s="6" t="s">
        <v>2</v>
      </c>
      <c r="X7" s="6" t="s">
        <v>2</v>
      </c>
    </row>
    <row r="8" spans="1:24" x14ac:dyDescent="0.25">
      <c r="A8" s="5" t="s">
        <v>84</v>
      </c>
      <c r="B8" s="6" t="s">
        <v>420</v>
      </c>
      <c r="C8" s="6" t="s">
        <v>430</v>
      </c>
      <c r="D8" s="6" t="s">
        <v>431</v>
      </c>
      <c r="E8" s="6">
        <v>88</v>
      </c>
      <c r="F8" s="6">
        <v>91</v>
      </c>
      <c r="G8" s="6">
        <v>99.4</v>
      </c>
      <c r="H8" s="9">
        <f>ROUND(E8*F8*G8/10000,1)</f>
        <v>79.6</v>
      </c>
      <c r="I8" s="6">
        <v>160</v>
      </c>
      <c r="J8" s="6">
        <v>144</v>
      </c>
      <c r="K8" s="6">
        <v>45</v>
      </c>
      <c r="L8" s="6">
        <v>49</v>
      </c>
      <c r="M8" s="6">
        <v>1085</v>
      </c>
      <c r="N8" s="6">
        <v>7</v>
      </c>
      <c r="O8" s="6">
        <v>210</v>
      </c>
      <c r="P8" s="6">
        <v>32</v>
      </c>
      <c r="Q8" s="6">
        <v>58</v>
      </c>
      <c r="R8" s="6">
        <v>410</v>
      </c>
      <c r="S8" s="6" t="s">
        <v>2</v>
      </c>
      <c r="T8" s="6" t="s">
        <v>432</v>
      </c>
      <c r="U8" s="6" t="s">
        <v>424</v>
      </c>
      <c r="V8" s="6" t="s">
        <v>425</v>
      </c>
      <c r="W8" s="6" t="s">
        <v>2</v>
      </c>
      <c r="X8" s="6" t="s">
        <v>2</v>
      </c>
    </row>
    <row r="9" spans="1:24" x14ac:dyDescent="0.25">
      <c r="A9" s="5" t="s">
        <v>89</v>
      </c>
      <c r="B9" s="6" t="s">
        <v>420</v>
      </c>
      <c r="C9" s="6" t="s">
        <v>426</v>
      </c>
      <c r="D9" s="6" t="s">
        <v>433</v>
      </c>
      <c r="E9" s="6">
        <v>98</v>
      </c>
      <c r="F9" s="6">
        <v>95</v>
      </c>
      <c r="G9" s="6">
        <v>100</v>
      </c>
      <c r="H9" s="9">
        <f>ROUND(E9*F9*G9/10000,1)</f>
        <v>93.1</v>
      </c>
      <c r="I9" s="6">
        <v>160</v>
      </c>
      <c r="J9" s="6">
        <v>146</v>
      </c>
      <c r="K9" s="6">
        <v>45</v>
      </c>
      <c r="L9" s="6">
        <v>49</v>
      </c>
      <c r="M9" s="6">
        <v>1092</v>
      </c>
      <c r="N9" s="6">
        <v>0</v>
      </c>
      <c r="O9" s="6">
        <v>950</v>
      </c>
      <c r="P9" s="6">
        <v>15</v>
      </c>
      <c r="Q9" s="6">
        <v>1.8</v>
      </c>
      <c r="R9" s="6">
        <v>12</v>
      </c>
      <c r="S9" s="6" t="s">
        <v>2</v>
      </c>
      <c r="T9" s="6" t="s">
        <v>428</v>
      </c>
      <c r="U9" s="6" t="s">
        <v>424</v>
      </c>
      <c r="V9" s="6" t="s">
        <v>425</v>
      </c>
      <c r="W9" s="6" t="s">
        <v>2</v>
      </c>
      <c r="X9" s="6" t="s">
        <v>2</v>
      </c>
    </row>
    <row r="10" spans="1:24" x14ac:dyDescent="0.25">
      <c r="A10" s="5" t="s">
        <v>93</v>
      </c>
      <c r="B10" s="6" t="s">
        <v>420</v>
      </c>
      <c r="C10" s="6" t="s">
        <v>426</v>
      </c>
      <c r="D10" s="6" t="s">
        <v>2</v>
      </c>
      <c r="E10" s="6">
        <v>99</v>
      </c>
      <c r="F10" s="6">
        <v>97</v>
      </c>
      <c r="G10" s="6">
        <v>100</v>
      </c>
      <c r="H10" s="9">
        <f>ROUND(E10*F10*G10/10000,1)</f>
        <v>96</v>
      </c>
      <c r="I10" s="6">
        <v>240</v>
      </c>
      <c r="J10" s="6">
        <v>220</v>
      </c>
      <c r="K10" s="6">
        <v>60</v>
      </c>
      <c r="L10" s="6">
        <v>66</v>
      </c>
      <c r="M10" s="6">
        <v>1650</v>
      </c>
      <c r="N10" s="6">
        <v>0</v>
      </c>
      <c r="O10" s="6">
        <v>2400</v>
      </c>
      <c r="P10" s="6">
        <v>20</v>
      </c>
      <c r="Q10" s="6">
        <v>0.4</v>
      </c>
      <c r="R10" s="6">
        <v>3</v>
      </c>
      <c r="S10" s="6" t="s">
        <v>2</v>
      </c>
      <c r="T10" s="6" t="s">
        <v>428</v>
      </c>
      <c r="U10" s="6" t="s">
        <v>424</v>
      </c>
      <c r="V10" s="6" t="s">
        <v>425</v>
      </c>
      <c r="W10" s="6" t="s">
        <v>2</v>
      </c>
      <c r="X10" s="6" t="s">
        <v>2</v>
      </c>
    </row>
    <row r="11" spans="1:24" x14ac:dyDescent="0.25">
      <c r="A11" s="5" t="s">
        <v>97</v>
      </c>
      <c r="B11" s="6" t="s">
        <v>420</v>
      </c>
      <c r="C11" s="6" t="s">
        <v>434</v>
      </c>
      <c r="D11" s="6" t="s">
        <v>435</v>
      </c>
      <c r="E11" s="6">
        <v>93</v>
      </c>
      <c r="F11" s="6">
        <v>87</v>
      </c>
      <c r="G11" s="6">
        <v>97.9</v>
      </c>
      <c r="H11" s="9">
        <f>ROUND(E11*F11*G11/10000,1)</f>
        <v>79.2</v>
      </c>
      <c r="I11" s="6">
        <v>160</v>
      </c>
      <c r="J11" s="6">
        <v>136</v>
      </c>
      <c r="K11" s="6">
        <v>45</v>
      </c>
      <c r="L11" s="6">
        <v>52</v>
      </c>
      <c r="M11" s="6">
        <v>1010</v>
      </c>
      <c r="N11" s="6">
        <v>21</v>
      </c>
      <c r="O11" s="6">
        <v>210</v>
      </c>
      <c r="P11" s="6">
        <v>32</v>
      </c>
      <c r="Q11" s="6">
        <v>58</v>
      </c>
      <c r="R11" s="6">
        <v>410</v>
      </c>
      <c r="S11" s="6" t="s">
        <v>2</v>
      </c>
      <c r="T11" s="6" t="s">
        <v>432</v>
      </c>
      <c r="U11" s="6" t="s">
        <v>424</v>
      </c>
      <c r="V11" s="6" t="s">
        <v>425</v>
      </c>
      <c r="W11" s="6" t="s">
        <v>2</v>
      </c>
      <c r="X11" s="6" t="s">
        <v>2</v>
      </c>
    </row>
    <row r="12" spans="1:24" x14ac:dyDescent="0.25">
      <c r="A12" s="5" t="s">
        <v>101</v>
      </c>
      <c r="B12" s="6" t="s">
        <v>420</v>
      </c>
      <c r="C12" s="6" t="s">
        <v>426</v>
      </c>
      <c r="D12" s="6" t="s">
        <v>436</v>
      </c>
      <c r="E12" s="6">
        <v>98</v>
      </c>
      <c r="F12" s="6">
        <v>95</v>
      </c>
      <c r="G12" s="6">
        <v>100</v>
      </c>
      <c r="H12" s="9">
        <f>ROUND(E12*F12*G12/10000,1)</f>
        <v>93.1</v>
      </c>
      <c r="I12" s="6">
        <v>160</v>
      </c>
      <c r="J12" s="6">
        <v>146</v>
      </c>
      <c r="K12" s="6">
        <v>45</v>
      </c>
      <c r="L12" s="6">
        <v>49</v>
      </c>
      <c r="M12" s="6">
        <v>1031</v>
      </c>
      <c r="N12" s="6">
        <v>0</v>
      </c>
      <c r="O12" s="6">
        <v>950</v>
      </c>
      <c r="P12" s="6">
        <v>15</v>
      </c>
      <c r="Q12" s="6">
        <v>1.8</v>
      </c>
      <c r="R12" s="6">
        <v>12</v>
      </c>
      <c r="S12" s="6" t="s">
        <v>2</v>
      </c>
      <c r="T12" s="6" t="s">
        <v>428</v>
      </c>
      <c r="U12" s="6" t="s">
        <v>424</v>
      </c>
      <c r="V12" s="6" t="s">
        <v>425</v>
      </c>
      <c r="W12" s="6" t="s">
        <v>2</v>
      </c>
      <c r="X12" s="6" t="s">
        <v>2</v>
      </c>
    </row>
    <row r="13" spans="1:24" x14ac:dyDescent="0.25">
      <c r="A13" s="5" t="s">
        <v>105</v>
      </c>
      <c r="B13" s="6" t="s">
        <v>420</v>
      </c>
      <c r="C13" s="6" t="s">
        <v>426</v>
      </c>
      <c r="D13" s="6" t="s">
        <v>2</v>
      </c>
      <c r="E13" s="6">
        <v>99</v>
      </c>
      <c r="F13" s="6">
        <v>97</v>
      </c>
      <c r="G13" s="6">
        <v>100</v>
      </c>
      <c r="H13" s="9">
        <f>ROUND(E13*F13*G13/10000,1)</f>
        <v>96</v>
      </c>
      <c r="I13" s="6">
        <v>240</v>
      </c>
      <c r="J13" s="6">
        <v>220</v>
      </c>
      <c r="K13" s="6">
        <v>60</v>
      </c>
      <c r="L13" s="6">
        <v>66</v>
      </c>
      <c r="M13" s="6">
        <v>1650</v>
      </c>
      <c r="N13" s="6">
        <v>0</v>
      </c>
      <c r="O13" s="6">
        <v>2400</v>
      </c>
      <c r="P13" s="6">
        <v>20</v>
      </c>
      <c r="Q13" s="6">
        <v>0.4</v>
      </c>
      <c r="R13" s="6">
        <v>3</v>
      </c>
      <c r="S13" s="6" t="s">
        <v>2</v>
      </c>
      <c r="T13" s="6" t="s">
        <v>428</v>
      </c>
      <c r="U13" s="6" t="s">
        <v>424</v>
      </c>
      <c r="V13" s="6" t="s">
        <v>425</v>
      </c>
      <c r="W13" s="6" t="s">
        <v>2</v>
      </c>
      <c r="X13" s="6" t="s">
        <v>2</v>
      </c>
    </row>
    <row r="14" spans="1:24" x14ac:dyDescent="0.25">
      <c r="A14" s="5" t="s">
        <v>109</v>
      </c>
      <c r="B14" s="6" t="s">
        <v>420</v>
      </c>
      <c r="C14" s="6" t="s">
        <v>426</v>
      </c>
      <c r="D14" s="6" t="s">
        <v>437</v>
      </c>
      <c r="E14" s="6">
        <v>99</v>
      </c>
      <c r="F14" s="6">
        <v>84</v>
      </c>
      <c r="G14" s="6">
        <v>100</v>
      </c>
      <c r="H14" s="9">
        <f>ROUND(E14*F14*G14/10000,1)</f>
        <v>83.2</v>
      </c>
      <c r="I14" s="6">
        <v>280</v>
      </c>
      <c r="J14" s="6">
        <v>236</v>
      </c>
      <c r="K14" s="6">
        <v>1</v>
      </c>
      <c r="L14" s="6">
        <v>1</v>
      </c>
      <c r="M14" s="6">
        <v>1890</v>
      </c>
      <c r="N14" s="6">
        <v>0</v>
      </c>
      <c r="O14" s="6">
        <v>1500</v>
      </c>
      <c r="P14" s="6">
        <v>45</v>
      </c>
      <c r="Q14" s="6">
        <v>21</v>
      </c>
      <c r="R14" s="6">
        <v>160</v>
      </c>
      <c r="S14" s="6" t="s">
        <v>2</v>
      </c>
      <c r="T14" s="6" t="s">
        <v>428</v>
      </c>
      <c r="U14" s="6" t="s">
        <v>424</v>
      </c>
      <c r="V14" s="6" t="s">
        <v>425</v>
      </c>
      <c r="W14" s="6" t="s">
        <v>2</v>
      </c>
      <c r="X14" s="6" t="s">
        <v>2</v>
      </c>
    </row>
    <row r="15" spans="1:24" x14ac:dyDescent="0.25">
      <c r="A15" s="5" t="s">
        <v>116</v>
      </c>
      <c r="B15" s="6" t="s">
        <v>420</v>
      </c>
      <c r="C15" s="6" t="s">
        <v>438</v>
      </c>
      <c r="D15" s="6" t="s">
        <v>439</v>
      </c>
      <c r="E15" s="6">
        <v>89</v>
      </c>
      <c r="F15" s="6">
        <v>88</v>
      </c>
      <c r="G15" s="6">
        <v>99.5</v>
      </c>
      <c r="H15" s="9">
        <f>ROUND(E15*F15*G15/10000,1)</f>
        <v>77.9</v>
      </c>
      <c r="I15" s="6">
        <v>36</v>
      </c>
      <c r="J15" s="6">
        <v>32</v>
      </c>
      <c r="K15" s="6">
        <v>100</v>
      </c>
      <c r="L15" s="6">
        <v>112</v>
      </c>
      <c r="M15" s="6">
        <v>246</v>
      </c>
      <c r="N15" s="6">
        <v>2</v>
      </c>
      <c r="O15" s="6">
        <v>180</v>
      </c>
      <c r="P15" s="6">
        <v>25</v>
      </c>
      <c r="Q15" s="6">
        <v>26</v>
      </c>
      <c r="R15" s="6">
        <v>190</v>
      </c>
      <c r="S15" s="6" t="s">
        <v>2</v>
      </c>
      <c r="T15" s="6" t="s">
        <v>440</v>
      </c>
      <c r="U15" s="6" t="s">
        <v>424</v>
      </c>
      <c r="V15" s="6" t="s">
        <v>425</v>
      </c>
      <c r="W15" s="6" t="s">
        <v>2</v>
      </c>
      <c r="X15" s="6" t="s">
        <v>2</v>
      </c>
    </row>
    <row r="16" spans="1:24" x14ac:dyDescent="0.25">
      <c r="A16" s="5" t="s">
        <v>125</v>
      </c>
      <c r="B16" s="6" t="s">
        <v>420</v>
      </c>
      <c r="C16" s="6" t="s">
        <v>426</v>
      </c>
      <c r="D16" s="6" t="s">
        <v>2</v>
      </c>
      <c r="E16" s="6">
        <v>99</v>
      </c>
      <c r="F16" s="6">
        <v>92</v>
      </c>
      <c r="G16" s="6">
        <v>100</v>
      </c>
      <c r="H16" s="9">
        <f>ROUND(E16*F16*G16/10000,1)</f>
        <v>91.1</v>
      </c>
      <c r="I16" s="6">
        <v>36</v>
      </c>
      <c r="J16" s="6">
        <v>33</v>
      </c>
      <c r="K16" s="6">
        <v>100</v>
      </c>
      <c r="L16" s="6">
        <v>108</v>
      </c>
      <c r="M16" s="6">
        <v>250</v>
      </c>
      <c r="N16" s="6">
        <v>0</v>
      </c>
      <c r="O16" s="6">
        <v>180</v>
      </c>
      <c r="P16" s="6">
        <v>25</v>
      </c>
      <c r="Q16" s="6">
        <v>4</v>
      </c>
      <c r="R16" s="6">
        <v>18</v>
      </c>
      <c r="S16" s="6" t="s">
        <v>2</v>
      </c>
      <c r="T16" s="6" t="s">
        <v>428</v>
      </c>
      <c r="U16" s="6" t="s">
        <v>424</v>
      </c>
      <c r="V16" s="6" t="s">
        <v>425</v>
      </c>
      <c r="W16" s="6" t="s">
        <v>2</v>
      </c>
      <c r="X16" s="6" t="s">
        <v>2</v>
      </c>
    </row>
    <row r="17" spans="1:24" x14ac:dyDescent="0.25">
      <c r="A17" s="5" t="s">
        <v>131</v>
      </c>
      <c r="B17" s="6" t="s">
        <v>420</v>
      </c>
      <c r="C17" s="6" t="s">
        <v>438</v>
      </c>
      <c r="D17" s="6" t="s">
        <v>439</v>
      </c>
      <c r="E17" s="6">
        <v>95</v>
      </c>
      <c r="F17" s="6">
        <v>93</v>
      </c>
      <c r="G17" s="6">
        <v>99.5</v>
      </c>
      <c r="H17" s="9">
        <f>ROUND(E17*F17*G17/10000,1)</f>
        <v>87.9</v>
      </c>
      <c r="I17" s="6">
        <v>36</v>
      </c>
      <c r="J17" s="6">
        <v>34</v>
      </c>
      <c r="K17" s="6">
        <v>100</v>
      </c>
      <c r="L17" s="6">
        <v>106</v>
      </c>
      <c r="M17" s="6">
        <v>262</v>
      </c>
      <c r="N17" s="6">
        <v>1</v>
      </c>
      <c r="O17" s="6">
        <v>180</v>
      </c>
      <c r="P17" s="6">
        <v>25</v>
      </c>
      <c r="Q17" s="6">
        <v>41</v>
      </c>
      <c r="R17" s="6">
        <v>300</v>
      </c>
      <c r="S17" s="6" t="s">
        <v>2</v>
      </c>
      <c r="T17" s="6" t="s">
        <v>440</v>
      </c>
      <c r="U17" s="6" t="s">
        <v>424</v>
      </c>
      <c r="V17" s="6" t="s">
        <v>425</v>
      </c>
      <c r="W17" s="6" t="s">
        <v>2</v>
      </c>
      <c r="X17" s="6" t="s">
        <v>2</v>
      </c>
    </row>
    <row r="18" spans="1:24" x14ac:dyDescent="0.25">
      <c r="A18" s="5" t="s">
        <v>136</v>
      </c>
      <c r="B18" s="6" t="s">
        <v>420</v>
      </c>
      <c r="C18" s="6" t="s">
        <v>426</v>
      </c>
      <c r="D18" s="6" t="s">
        <v>2</v>
      </c>
      <c r="E18" s="6">
        <v>99</v>
      </c>
      <c r="F18" s="6">
        <v>92</v>
      </c>
      <c r="G18" s="6">
        <v>100</v>
      </c>
      <c r="H18" s="9">
        <f>ROUND(E18*F18*G18/10000,1)</f>
        <v>91.1</v>
      </c>
      <c r="I18" s="6">
        <v>36</v>
      </c>
      <c r="J18" s="6">
        <v>33</v>
      </c>
      <c r="K18" s="6">
        <v>100</v>
      </c>
      <c r="L18" s="6">
        <v>108</v>
      </c>
      <c r="M18" s="6">
        <v>250</v>
      </c>
      <c r="N18" s="6">
        <v>0</v>
      </c>
      <c r="O18" s="6">
        <v>180</v>
      </c>
      <c r="P18" s="6">
        <v>25</v>
      </c>
      <c r="Q18" s="6">
        <v>4</v>
      </c>
      <c r="R18" s="6">
        <v>18</v>
      </c>
      <c r="S18" s="6" t="s">
        <v>2</v>
      </c>
      <c r="T18" s="6" t="s">
        <v>428</v>
      </c>
      <c r="U18" s="6" t="s">
        <v>424</v>
      </c>
      <c r="V18" s="6" t="s">
        <v>425</v>
      </c>
      <c r="W18" s="6" t="s">
        <v>2</v>
      </c>
      <c r="X18" s="6" t="s">
        <v>2</v>
      </c>
    </row>
    <row r="19" spans="1:24" x14ac:dyDescent="0.25">
      <c r="A19" s="5" t="s">
        <v>140</v>
      </c>
      <c r="B19" s="6" t="s">
        <v>420</v>
      </c>
      <c r="C19" s="6" t="s">
        <v>438</v>
      </c>
      <c r="D19" s="6" t="s">
        <v>441</v>
      </c>
      <c r="E19" s="6">
        <v>93</v>
      </c>
      <c r="F19" s="6">
        <v>89</v>
      </c>
      <c r="G19" s="6">
        <v>99.1</v>
      </c>
      <c r="H19" s="9">
        <f>ROUND(E19*F19*G19/10000,1)</f>
        <v>82</v>
      </c>
      <c r="I19" s="6">
        <v>45</v>
      </c>
      <c r="J19" s="6">
        <v>40</v>
      </c>
      <c r="K19" s="6">
        <v>80</v>
      </c>
      <c r="L19" s="6">
        <v>90</v>
      </c>
      <c r="M19" s="6">
        <v>312</v>
      </c>
      <c r="N19" s="6">
        <v>3</v>
      </c>
      <c r="O19" s="6">
        <v>180</v>
      </c>
      <c r="P19" s="6">
        <v>25</v>
      </c>
      <c r="Q19" s="6">
        <v>9</v>
      </c>
      <c r="R19" s="6">
        <v>62</v>
      </c>
      <c r="S19" s="6" t="s">
        <v>2</v>
      </c>
      <c r="T19" s="6" t="s">
        <v>428</v>
      </c>
      <c r="U19" s="6" t="s">
        <v>424</v>
      </c>
      <c r="V19" s="6" t="s">
        <v>425</v>
      </c>
      <c r="W19" s="6" t="s">
        <v>2</v>
      </c>
      <c r="X19" s="6" t="s">
        <v>2</v>
      </c>
    </row>
    <row r="20" spans="1:24" x14ac:dyDescent="0.25">
      <c r="A20" s="5" t="s">
        <v>148</v>
      </c>
      <c r="B20" s="6" t="s">
        <v>420</v>
      </c>
      <c r="C20" s="6" t="s">
        <v>426</v>
      </c>
      <c r="D20" s="6" t="s">
        <v>442</v>
      </c>
      <c r="E20" s="6">
        <v>97</v>
      </c>
      <c r="F20" s="6">
        <v>89</v>
      </c>
      <c r="G20" s="6">
        <v>100</v>
      </c>
      <c r="H20" s="9">
        <f>ROUND(E20*F20*G20/10000,1)</f>
        <v>86.3</v>
      </c>
      <c r="I20" s="6">
        <v>45</v>
      </c>
      <c r="J20" s="6">
        <v>40</v>
      </c>
      <c r="K20" s="6">
        <v>80</v>
      </c>
      <c r="L20" s="6">
        <v>90</v>
      </c>
      <c r="M20" s="6">
        <v>312</v>
      </c>
      <c r="N20" s="6">
        <v>0</v>
      </c>
      <c r="O20" s="6">
        <v>3200</v>
      </c>
      <c r="P20" s="6">
        <v>40</v>
      </c>
      <c r="Q20" s="6">
        <v>5.5</v>
      </c>
      <c r="R20" s="6">
        <v>35</v>
      </c>
      <c r="S20" s="6" t="s">
        <v>2</v>
      </c>
      <c r="T20" s="6" t="s">
        <v>428</v>
      </c>
      <c r="U20" s="6" t="s">
        <v>424</v>
      </c>
      <c r="V20" s="6" t="s">
        <v>425</v>
      </c>
      <c r="W20" s="6" t="s">
        <v>2</v>
      </c>
      <c r="X20" s="6" t="s">
        <v>2</v>
      </c>
    </row>
    <row r="21" spans="1:24" x14ac:dyDescent="0.25">
      <c r="A21" s="5" t="s">
        <v>154</v>
      </c>
      <c r="B21" s="6" t="s">
        <v>420</v>
      </c>
      <c r="C21" s="6" t="s">
        <v>438</v>
      </c>
      <c r="D21" s="6" t="s">
        <v>441</v>
      </c>
      <c r="E21" s="6">
        <v>90</v>
      </c>
      <c r="F21" s="6">
        <v>84</v>
      </c>
      <c r="G21" s="6">
        <v>99.1</v>
      </c>
      <c r="H21" s="9">
        <f>ROUND(E21*F21*G21/10000,1)</f>
        <v>74.9</v>
      </c>
      <c r="I21" s="6">
        <v>45</v>
      </c>
      <c r="J21" s="6">
        <v>38</v>
      </c>
      <c r="K21" s="6">
        <v>80</v>
      </c>
      <c r="L21" s="6">
        <v>95</v>
      </c>
      <c r="M21" s="6">
        <v>288</v>
      </c>
      <c r="N21" s="6">
        <v>3</v>
      </c>
      <c r="O21" s="6">
        <v>180</v>
      </c>
      <c r="P21" s="6">
        <v>25</v>
      </c>
      <c r="Q21" s="6">
        <v>9</v>
      </c>
      <c r="R21" s="6">
        <v>62</v>
      </c>
      <c r="S21" s="6" t="s">
        <v>2</v>
      </c>
      <c r="T21" s="6" t="s">
        <v>428</v>
      </c>
      <c r="U21" s="6" t="s">
        <v>424</v>
      </c>
      <c r="V21" s="6" t="s">
        <v>425</v>
      </c>
      <c r="W21" s="6" t="s">
        <v>2</v>
      </c>
      <c r="X21" s="6" t="s">
        <v>2</v>
      </c>
    </row>
    <row r="22" spans="1:24" x14ac:dyDescent="0.25">
      <c r="A22" s="5" t="s">
        <v>158</v>
      </c>
      <c r="B22" s="6" t="s">
        <v>420</v>
      </c>
      <c r="C22" s="6" t="s">
        <v>426</v>
      </c>
      <c r="D22" s="6" t="s">
        <v>442</v>
      </c>
      <c r="E22" s="6">
        <v>97</v>
      </c>
      <c r="F22" s="6">
        <v>89</v>
      </c>
      <c r="G22" s="6">
        <v>100</v>
      </c>
      <c r="H22" s="9">
        <f>ROUND(E22*F22*G22/10000,1)</f>
        <v>86.3</v>
      </c>
      <c r="I22" s="6">
        <v>45</v>
      </c>
      <c r="J22" s="6">
        <v>40</v>
      </c>
      <c r="K22" s="6">
        <v>80</v>
      </c>
      <c r="L22" s="6">
        <v>90</v>
      </c>
      <c r="M22" s="6">
        <v>312</v>
      </c>
      <c r="N22" s="6">
        <v>0</v>
      </c>
      <c r="O22" s="6">
        <v>3200</v>
      </c>
      <c r="P22" s="6">
        <v>40</v>
      </c>
      <c r="Q22" s="6">
        <v>5.5</v>
      </c>
      <c r="R22" s="6">
        <v>35</v>
      </c>
      <c r="S22" s="6" t="s">
        <v>2</v>
      </c>
      <c r="T22" s="6" t="s">
        <v>428</v>
      </c>
      <c r="U22" s="6" t="s">
        <v>424</v>
      </c>
      <c r="V22" s="6" t="s">
        <v>425</v>
      </c>
      <c r="W22" s="6" t="s">
        <v>2</v>
      </c>
      <c r="X22" s="6" t="s">
        <v>2</v>
      </c>
    </row>
    <row r="23" spans="1:24" x14ac:dyDescent="0.25">
      <c r="A23" s="5" t="s">
        <v>162</v>
      </c>
      <c r="B23" s="6" t="s">
        <v>420</v>
      </c>
      <c r="C23" s="6" t="s">
        <v>426</v>
      </c>
      <c r="D23" s="6" t="s">
        <v>443</v>
      </c>
      <c r="E23" s="6">
        <v>91</v>
      </c>
      <c r="F23" s="6">
        <v>87</v>
      </c>
      <c r="G23" s="6">
        <v>99.6</v>
      </c>
      <c r="H23" s="9">
        <f>ROUND(E23*F23*G23/10000,1)</f>
        <v>78.9</v>
      </c>
      <c r="I23" s="6">
        <v>90</v>
      </c>
      <c r="J23" s="6">
        <v>78</v>
      </c>
      <c r="K23" s="6">
        <v>40</v>
      </c>
      <c r="L23" s="6">
        <v>46</v>
      </c>
      <c r="M23" s="6">
        <v>590</v>
      </c>
      <c r="N23" s="6">
        <v>2</v>
      </c>
      <c r="O23" s="6">
        <v>180</v>
      </c>
      <c r="P23" s="6">
        <v>25</v>
      </c>
      <c r="Q23" s="6">
        <v>31</v>
      </c>
      <c r="R23" s="6">
        <v>220</v>
      </c>
      <c r="S23" s="6" t="s">
        <v>2</v>
      </c>
      <c r="T23" s="6" t="s">
        <v>440</v>
      </c>
      <c r="U23" s="6" t="s">
        <v>424</v>
      </c>
      <c r="V23" s="6" t="s">
        <v>425</v>
      </c>
      <c r="W23" s="6" t="s">
        <v>2</v>
      </c>
      <c r="X23" s="6" t="s">
        <v>2</v>
      </c>
    </row>
    <row r="24" spans="1:24" x14ac:dyDescent="0.25">
      <c r="A24" s="5" t="s">
        <v>170</v>
      </c>
      <c r="B24" s="6" t="s">
        <v>420</v>
      </c>
      <c r="C24" s="6" t="s">
        <v>426</v>
      </c>
      <c r="D24" s="6" t="s">
        <v>2</v>
      </c>
      <c r="E24" s="6">
        <v>98</v>
      </c>
      <c r="F24" s="6">
        <v>88</v>
      </c>
      <c r="G24" s="6">
        <v>100</v>
      </c>
      <c r="H24" s="9">
        <f>ROUND(E24*F24*G24/10000,1)</f>
        <v>86.2</v>
      </c>
      <c r="I24" s="6">
        <v>90</v>
      </c>
      <c r="J24" s="6">
        <v>79</v>
      </c>
      <c r="K24" s="6">
        <v>40</v>
      </c>
      <c r="L24" s="6">
        <v>45</v>
      </c>
      <c r="M24" s="6">
        <v>596</v>
      </c>
      <c r="N24" s="6">
        <v>0</v>
      </c>
      <c r="O24" s="6">
        <v>4100</v>
      </c>
      <c r="P24" s="6">
        <v>35</v>
      </c>
      <c r="Q24" s="6">
        <v>3.2</v>
      </c>
      <c r="R24" s="6">
        <v>20</v>
      </c>
      <c r="S24" s="6" t="s">
        <v>2</v>
      </c>
      <c r="T24" s="6" t="s">
        <v>428</v>
      </c>
      <c r="U24" s="6" t="s">
        <v>424</v>
      </c>
      <c r="V24" s="6" t="s">
        <v>425</v>
      </c>
      <c r="W24" s="6" t="s">
        <v>2</v>
      </c>
      <c r="X24" s="6" t="s">
        <v>2</v>
      </c>
    </row>
    <row r="25" spans="1:24" x14ac:dyDescent="0.25">
      <c r="A25" s="5" t="s">
        <v>175</v>
      </c>
      <c r="B25" s="6" t="s">
        <v>420</v>
      </c>
      <c r="C25" s="6" t="s">
        <v>426</v>
      </c>
      <c r="D25" s="6" t="s">
        <v>444</v>
      </c>
      <c r="E25" s="6">
        <v>90</v>
      </c>
      <c r="F25" s="6">
        <v>92</v>
      </c>
      <c r="G25" s="6">
        <v>99.8</v>
      </c>
      <c r="H25" s="9">
        <f>ROUND(E25*F25*G25/10000,1)</f>
        <v>82.6</v>
      </c>
      <c r="I25" s="6">
        <v>1800</v>
      </c>
      <c r="J25" s="6">
        <v>1650</v>
      </c>
      <c r="K25" s="6">
        <v>2</v>
      </c>
      <c r="L25" s="6">
        <v>2.2</v>
      </c>
      <c r="M25" s="6">
        <v>12870</v>
      </c>
      <c r="N25" s="6">
        <v>26</v>
      </c>
      <c r="O25" s="6">
        <v>180</v>
      </c>
      <c r="P25" s="6">
        <v>25</v>
      </c>
      <c r="Q25" s="6">
        <v>48</v>
      </c>
      <c r="R25" s="6">
        <v>350</v>
      </c>
      <c r="S25" s="6" t="s">
        <v>2</v>
      </c>
      <c r="T25" s="6" t="s">
        <v>445</v>
      </c>
      <c r="U25" s="6" t="s">
        <v>424</v>
      </c>
      <c r="V25" s="6" t="s">
        <v>425</v>
      </c>
      <c r="W25" s="6" t="s">
        <v>2</v>
      </c>
      <c r="X25" s="6" t="s">
        <v>2</v>
      </c>
    </row>
    <row r="26" spans="1:24" x14ac:dyDescent="0.25">
      <c r="A26" s="5" t="s">
        <v>182</v>
      </c>
      <c r="B26" s="6" t="s">
        <v>420</v>
      </c>
      <c r="C26" s="6" t="s">
        <v>426</v>
      </c>
      <c r="D26" s="6" t="s">
        <v>2</v>
      </c>
      <c r="E26" s="6">
        <v>99</v>
      </c>
      <c r="F26" s="6">
        <v>96</v>
      </c>
      <c r="G26" s="6">
        <v>100</v>
      </c>
      <c r="H26" s="9">
        <f>ROUND(E26*F26*G26/10000,1)</f>
        <v>95</v>
      </c>
      <c r="I26" s="6">
        <v>90</v>
      </c>
      <c r="J26" s="6">
        <v>78</v>
      </c>
      <c r="K26" s="6">
        <v>60</v>
      </c>
      <c r="L26" s="6">
        <v>66</v>
      </c>
      <c r="M26" s="6">
        <v>590</v>
      </c>
      <c r="N26" s="6">
        <v>0</v>
      </c>
      <c r="O26" s="6">
        <v>3000</v>
      </c>
      <c r="P26" s="6">
        <v>15</v>
      </c>
      <c r="Q26" s="6">
        <v>0.6</v>
      </c>
      <c r="R26" s="6">
        <v>4</v>
      </c>
      <c r="S26" s="6" t="s">
        <v>2</v>
      </c>
      <c r="T26" s="6" t="s">
        <v>428</v>
      </c>
      <c r="U26" s="6" t="s">
        <v>424</v>
      </c>
      <c r="V26" s="6" t="s">
        <v>425</v>
      </c>
      <c r="W26" s="6" t="s">
        <v>2</v>
      </c>
      <c r="X26" s="6" t="s">
        <v>2</v>
      </c>
    </row>
    <row r="27" spans="1:24" x14ac:dyDescent="0.25">
      <c r="A27" s="5" t="s">
        <v>187</v>
      </c>
      <c r="B27" s="6" t="s">
        <v>446</v>
      </c>
      <c r="C27" s="6" t="s">
        <v>426</v>
      </c>
      <c r="D27" s="6" t="s">
        <v>2</v>
      </c>
      <c r="E27" s="6">
        <v>99</v>
      </c>
      <c r="F27" s="6">
        <v>60</v>
      </c>
      <c r="G27" s="6">
        <v>100</v>
      </c>
      <c r="H27" s="9">
        <f>ROUND(E27*F27*G27/10000,1)</f>
        <v>59.4</v>
      </c>
      <c r="I27" s="6">
        <v>6</v>
      </c>
      <c r="J27" s="6">
        <v>3</v>
      </c>
      <c r="K27" s="6">
        <v>600</v>
      </c>
      <c r="L27" s="6">
        <v>900</v>
      </c>
      <c r="M27" s="6">
        <v>18</v>
      </c>
      <c r="N27" s="6">
        <v>0</v>
      </c>
      <c r="O27" s="6">
        <v>5000</v>
      </c>
      <c r="P27" s="6">
        <v>60</v>
      </c>
      <c r="Q27" s="6">
        <v>2</v>
      </c>
      <c r="R27" s="6">
        <v>9</v>
      </c>
      <c r="S27" s="6" t="s">
        <v>2</v>
      </c>
      <c r="T27" s="6" t="s">
        <v>428</v>
      </c>
      <c r="U27" s="6" t="s">
        <v>424</v>
      </c>
      <c r="V27" s="6" t="s">
        <v>425</v>
      </c>
      <c r="W27" s="6" t="s">
        <v>2</v>
      </c>
      <c r="X27" s="6" t="s">
        <v>2</v>
      </c>
    </row>
    <row r="28" spans="1:24" x14ac:dyDescent="0.25">
      <c r="A28" s="5" t="s">
        <v>195</v>
      </c>
      <c r="B28" s="6" t="s">
        <v>420</v>
      </c>
      <c r="C28" s="6" t="s">
        <v>426</v>
      </c>
      <c r="D28" s="6" t="s">
        <v>447</v>
      </c>
      <c r="E28" s="6">
        <v>100</v>
      </c>
      <c r="F28" s="6">
        <v>100</v>
      </c>
      <c r="G28" s="6">
        <v>100</v>
      </c>
      <c r="H28" s="9">
        <f>ROUND(E28*F28*G28/10000,1)</f>
        <v>100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180</v>
      </c>
      <c r="P28" s="6">
        <v>25</v>
      </c>
      <c r="Q28" s="6">
        <v>0</v>
      </c>
      <c r="R28" s="6">
        <v>0</v>
      </c>
      <c r="S28" s="6" t="s">
        <v>2</v>
      </c>
      <c r="T28" s="6" t="s">
        <v>428</v>
      </c>
      <c r="U28" s="6" t="s">
        <v>424</v>
      </c>
      <c r="V28" s="6" t="s">
        <v>425</v>
      </c>
      <c r="W28" s="6" t="s">
        <v>2</v>
      </c>
      <c r="X28" s="6" t="s">
        <v>2</v>
      </c>
    </row>
    <row r="29" spans="1:24" x14ac:dyDescent="0.25">
      <c r="A29" s="5" t="s">
        <v>204</v>
      </c>
      <c r="B29" s="6" t="s">
        <v>420</v>
      </c>
      <c r="C29" s="6" t="s">
        <v>426</v>
      </c>
      <c r="D29" s="6" t="s">
        <v>448</v>
      </c>
      <c r="E29" s="6">
        <v>99</v>
      </c>
      <c r="F29" s="6">
        <v>78</v>
      </c>
      <c r="G29" s="6">
        <v>100</v>
      </c>
      <c r="H29" s="9">
        <f>ROUND(E29*F29*G29/10000,1)</f>
        <v>77.2</v>
      </c>
      <c r="I29" s="6">
        <v>110</v>
      </c>
      <c r="J29" s="6">
        <v>86</v>
      </c>
      <c r="K29" s="6">
        <v>33</v>
      </c>
      <c r="L29" s="6">
        <v>42</v>
      </c>
      <c r="M29" s="6">
        <v>620</v>
      </c>
      <c r="N29" s="6">
        <v>0</v>
      </c>
      <c r="O29" s="6">
        <v>1800</v>
      </c>
      <c r="P29" s="6">
        <v>30</v>
      </c>
      <c r="Q29" s="6">
        <v>7</v>
      </c>
      <c r="R29" s="6">
        <v>44</v>
      </c>
      <c r="S29" s="6" t="s">
        <v>2</v>
      </c>
      <c r="T29" s="6" t="s">
        <v>428</v>
      </c>
      <c r="U29" s="6" t="s">
        <v>424</v>
      </c>
      <c r="V29" s="6" t="s">
        <v>425</v>
      </c>
      <c r="W29" s="6" t="s">
        <v>2</v>
      </c>
      <c r="X29" s="6" t="s">
        <v>2</v>
      </c>
    </row>
    <row r="30" spans="1:24" x14ac:dyDescent="0.25">
      <c r="A30" s="5" t="s">
        <v>210</v>
      </c>
      <c r="B30" s="6" t="s">
        <v>420</v>
      </c>
      <c r="C30" s="6" t="s">
        <v>426</v>
      </c>
      <c r="D30" s="6" t="s">
        <v>449</v>
      </c>
      <c r="E30" s="6">
        <v>97</v>
      </c>
      <c r="F30" s="6">
        <v>65</v>
      </c>
      <c r="G30" s="6">
        <v>100</v>
      </c>
      <c r="H30" s="9">
        <f>ROUND(E30*F30*G30/10000,1)</f>
        <v>63.1</v>
      </c>
      <c r="I30" s="6">
        <v>110</v>
      </c>
      <c r="J30" s="6">
        <v>71</v>
      </c>
      <c r="K30" s="6">
        <v>33</v>
      </c>
      <c r="L30" s="6">
        <v>51</v>
      </c>
      <c r="M30" s="6">
        <v>510</v>
      </c>
      <c r="N30" s="6">
        <v>0</v>
      </c>
      <c r="O30" s="6">
        <v>1800</v>
      </c>
      <c r="P30" s="6">
        <v>30</v>
      </c>
      <c r="Q30" s="6">
        <v>7</v>
      </c>
      <c r="R30" s="6">
        <v>44</v>
      </c>
      <c r="S30" s="6" t="s">
        <v>2</v>
      </c>
      <c r="T30" s="6" t="s">
        <v>428</v>
      </c>
      <c r="U30" s="6" t="s">
        <v>424</v>
      </c>
      <c r="V30" s="6" t="s">
        <v>425</v>
      </c>
      <c r="W30" s="6" t="s">
        <v>2</v>
      </c>
      <c r="X30" s="6" t="s">
        <v>2</v>
      </c>
    </row>
    <row r="31" spans="1:24" x14ac:dyDescent="0.25">
      <c r="A31" s="5" t="s">
        <v>214</v>
      </c>
      <c r="B31" s="6" t="s">
        <v>420</v>
      </c>
      <c r="C31" s="6" t="s">
        <v>426</v>
      </c>
      <c r="D31" s="6" t="s">
        <v>450</v>
      </c>
      <c r="E31" s="6">
        <v>98</v>
      </c>
      <c r="F31" s="6">
        <v>86</v>
      </c>
      <c r="G31" s="6">
        <v>100</v>
      </c>
      <c r="H31" s="9">
        <f>ROUND(E31*F31*G31/10000,1)</f>
        <v>84.3</v>
      </c>
      <c r="I31" s="6">
        <v>110</v>
      </c>
      <c r="J31" s="6">
        <v>95</v>
      </c>
      <c r="K31" s="6">
        <v>33</v>
      </c>
      <c r="L31" s="6">
        <v>38</v>
      </c>
      <c r="M31" s="6">
        <v>690</v>
      </c>
      <c r="N31" s="6">
        <v>0</v>
      </c>
      <c r="O31" s="6">
        <v>1800</v>
      </c>
      <c r="P31" s="6">
        <v>30</v>
      </c>
      <c r="Q31" s="6">
        <v>7</v>
      </c>
      <c r="R31" s="6">
        <v>44</v>
      </c>
      <c r="S31" s="6" t="s">
        <v>2</v>
      </c>
      <c r="T31" s="6" t="s">
        <v>428</v>
      </c>
      <c r="U31" s="6" t="s">
        <v>424</v>
      </c>
      <c r="V31" s="6" t="s">
        <v>425</v>
      </c>
      <c r="W31" s="6" t="s">
        <v>2</v>
      </c>
      <c r="X31" s="6" t="s">
        <v>2</v>
      </c>
    </row>
    <row r="32" spans="1:24" x14ac:dyDescent="0.25">
      <c r="A32" s="5" t="s">
        <v>218</v>
      </c>
      <c r="B32" s="6" t="s">
        <v>420</v>
      </c>
      <c r="C32" s="6" t="s">
        <v>426</v>
      </c>
      <c r="D32" s="6" t="s">
        <v>2</v>
      </c>
      <c r="E32" s="6">
        <v>99</v>
      </c>
      <c r="F32" s="6">
        <v>92</v>
      </c>
      <c r="G32" s="6">
        <v>100</v>
      </c>
      <c r="H32" s="9">
        <f>ROUND(E32*F32*G32/10000,1)</f>
        <v>91.1</v>
      </c>
      <c r="I32" s="6">
        <v>300</v>
      </c>
      <c r="J32" s="6">
        <v>252</v>
      </c>
      <c r="K32" s="6">
        <v>60</v>
      </c>
      <c r="L32" s="6">
        <v>66</v>
      </c>
      <c r="M32" s="6">
        <v>1820</v>
      </c>
      <c r="N32" s="6">
        <v>0</v>
      </c>
      <c r="O32" s="6">
        <v>2600</v>
      </c>
      <c r="P32" s="6">
        <v>20</v>
      </c>
      <c r="Q32" s="6">
        <v>1.5</v>
      </c>
      <c r="R32" s="6">
        <v>10</v>
      </c>
      <c r="S32" s="6" t="s">
        <v>2</v>
      </c>
      <c r="T32" s="6" t="s">
        <v>428</v>
      </c>
      <c r="U32" s="6" t="s">
        <v>424</v>
      </c>
      <c r="V32" s="6" t="s">
        <v>425</v>
      </c>
      <c r="W32" s="6" t="s">
        <v>2</v>
      </c>
      <c r="X32" s="6" t="s">
        <v>2</v>
      </c>
    </row>
    <row r="33" spans="1:24" x14ac:dyDescent="0.25">
      <c r="A33" s="5" t="s">
        <v>224</v>
      </c>
      <c r="B33" s="6" t="s">
        <v>420</v>
      </c>
      <c r="C33" s="6" t="s">
        <v>451</v>
      </c>
      <c r="D33" s="6" t="s">
        <v>452</v>
      </c>
      <c r="E33" s="6">
        <v>96</v>
      </c>
      <c r="F33" s="6">
        <v>86</v>
      </c>
      <c r="G33" s="6">
        <v>100</v>
      </c>
      <c r="H33" s="9">
        <f>ROUND(E33*F33*G33/10000,1)</f>
        <v>82.6</v>
      </c>
      <c r="I33" s="6">
        <v>20</v>
      </c>
      <c r="J33" s="6">
        <v>17</v>
      </c>
      <c r="K33" s="6">
        <v>180</v>
      </c>
      <c r="L33" s="6">
        <v>212</v>
      </c>
      <c r="M33" s="6">
        <v>124</v>
      </c>
      <c r="N33" s="6">
        <v>0</v>
      </c>
      <c r="O33" s="6">
        <v>900</v>
      </c>
      <c r="P33" s="6">
        <v>20</v>
      </c>
      <c r="Q33" s="6">
        <v>1.2</v>
      </c>
      <c r="R33" s="6">
        <v>9</v>
      </c>
      <c r="S33" s="6">
        <v>82</v>
      </c>
      <c r="T33" s="6" t="s">
        <v>428</v>
      </c>
      <c r="U33" s="6" t="s">
        <v>424</v>
      </c>
      <c r="V33" s="6" t="s">
        <v>425</v>
      </c>
      <c r="W33" s="6" t="s">
        <v>2</v>
      </c>
      <c r="X33" s="6" t="s">
        <v>2</v>
      </c>
    </row>
    <row r="34" spans="1:24" x14ac:dyDescent="0.25">
      <c r="A34" s="5" t="s">
        <v>233</v>
      </c>
      <c r="B34" s="6" t="s">
        <v>420</v>
      </c>
      <c r="C34" s="6" t="s">
        <v>451</v>
      </c>
      <c r="D34" s="6" t="s">
        <v>453</v>
      </c>
      <c r="E34" s="6">
        <v>93</v>
      </c>
      <c r="F34" s="6">
        <v>75</v>
      </c>
      <c r="G34" s="6">
        <v>100</v>
      </c>
      <c r="H34" s="9">
        <f>ROUND(E34*F34*G34/10000,1)</f>
        <v>69.8</v>
      </c>
      <c r="I34" s="6">
        <v>20</v>
      </c>
      <c r="J34" s="6">
        <v>15</v>
      </c>
      <c r="K34" s="6">
        <v>180</v>
      </c>
      <c r="L34" s="6">
        <v>240</v>
      </c>
      <c r="M34" s="6">
        <v>108</v>
      </c>
      <c r="N34" s="6">
        <v>0</v>
      </c>
      <c r="O34" s="6">
        <v>900</v>
      </c>
      <c r="P34" s="6">
        <v>20</v>
      </c>
      <c r="Q34" s="6">
        <v>1.2</v>
      </c>
      <c r="R34" s="6">
        <v>9</v>
      </c>
      <c r="S34" s="6">
        <v>67</v>
      </c>
      <c r="T34" s="6" t="s">
        <v>428</v>
      </c>
      <c r="U34" s="6" t="s">
        <v>424</v>
      </c>
      <c r="V34" s="6" t="s">
        <v>425</v>
      </c>
      <c r="W34" s="6" t="s">
        <v>2</v>
      </c>
      <c r="X34" s="6" t="s">
        <v>2</v>
      </c>
    </row>
    <row r="35" spans="1:24" x14ac:dyDescent="0.25">
      <c r="A35" s="5" t="s">
        <v>237</v>
      </c>
      <c r="B35" s="6" t="s">
        <v>420</v>
      </c>
      <c r="C35" s="6" t="s">
        <v>451</v>
      </c>
      <c r="D35" s="6" t="s">
        <v>454</v>
      </c>
      <c r="E35" s="6">
        <v>97</v>
      </c>
      <c r="F35" s="6">
        <v>90</v>
      </c>
      <c r="G35" s="6">
        <v>100</v>
      </c>
      <c r="H35" s="9">
        <f>ROUND(E35*F35*G35/10000,1)</f>
        <v>87.3</v>
      </c>
      <c r="I35" s="6">
        <v>20</v>
      </c>
      <c r="J35" s="6">
        <v>18</v>
      </c>
      <c r="K35" s="6">
        <v>180</v>
      </c>
      <c r="L35" s="6">
        <v>200</v>
      </c>
      <c r="M35" s="6">
        <v>131</v>
      </c>
      <c r="N35" s="6">
        <v>0</v>
      </c>
      <c r="O35" s="6">
        <v>900</v>
      </c>
      <c r="P35" s="6">
        <v>20</v>
      </c>
      <c r="Q35" s="6">
        <v>1.2</v>
      </c>
      <c r="R35" s="6">
        <v>9</v>
      </c>
      <c r="S35" s="6">
        <v>91</v>
      </c>
      <c r="T35" s="6" t="s">
        <v>428</v>
      </c>
      <c r="U35" s="6" t="s">
        <v>424</v>
      </c>
      <c r="V35" s="6" t="s">
        <v>425</v>
      </c>
      <c r="W35" s="6" t="s">
        <v>2</v>
      </c>
      <c r="X35" s="6" t="s">
        <v>2</v>
      </c>
    </row>
    <row r="36" spans="1:24" x14ac:dyDescent="0.25">
      <c r="A36" s="5" t="s">
        <v>241</v>
      </c>
      <c r="B36" s="6" t="s">
        <v>420</v>
      </c>
      <c r="C36" s="6" t="s">
        <v>451</v>
      </c>
      <c r="D36" s="6" t="s">
        <v>454</v>
      </c>
      <c r="E36" s="6">
        <v>94</v>
      </c>
      <c r="F36" s="6">
        <v>80</v>
      </c>
      <c r="G36" s="6">
        <v>100</v>
      </c>
      <c r="H36" s="9">
        <f>ROUND(E36*F36*G36/10000,1)</f>
        <v>75.2</v>
      </c>
      <c r="I36" s="6">
        <v>20</v>
      </c>
      <c r="J36" s="6">
        <v>16</v>
      </c>
      <c r="K36" s="6">
        <v>180</v>
      </c>
      <c r="L36" s="6">
        <v>225</v>
      </c>
      <c r="M36" s="6">
        <v>117</v>
      </c>
      <c r="N36" s="6">
        <v>0</v>
      </c>
      <c r="O36" s="6">
        <v>900</v>
      </c>
      <c r="P36" s="6">
        <v>20</v>
      </c>
      <c r="Q36" s="6">
        <v>1.2</v>
      </c>
      <c r="R36" s="6">
        <v>9</v>
      </c>
      <c r="S36" s="6">
        <v>54</v>
      </c>
      <c r="T36" s="6" t="s">
        <v>428</v>
      </c>
      <c r="U36" s="6" t="s">
        <v>424</v>
      </c>
      <c r="V36" s="6" t="s">
        <v>425</v>
      </c>
      <c r="W36" s="6" t="s">
        <v>2</v>
      </c>
      <c r="X36" s="6" t="s">
        <v>2</v>
      </c>
    </row>
    <row r="37" spans="1:24" x14ac:dyDescent="0.25">
      <c r="A37" s="5" t="s">
        <v>245</v>
      </c>
      <c r="B37" s="6" t="s">
        <v>420</v>
      </c>
      <c r="C37" s="6" t="s">
        <v>451</v>
      </c>
      <c r="D37" s="6" t="s">
        <v>455</v>
      </c>
      <c r="E37" s="6">
        <v>95</v>
      </c>
      <c r="F37" s="6">
        <v>65</v>
      </c>
      <c r="G37" s="6">
        <v>100</v>
      </c>
      <c r="H37" s="9">
        <f>ROUND(E37*F37*G37/10000,1)</f>
        <v>61.8</v>
      </c>
      <c r="I37" s="6">
        <v>20</v>
      </c>
      <c r="J37" s="6">
        <v>13</v>
      </c>
      <c r="K37" s="6">
        <v>180</v>
      </c>
      <c r="L37" s="6">
        <v>277</v>
      </c>
      <c r="M37" s="6">
        <v>95</v>
      </c>
      <c r="N37" s="6">
        <v>0</v>
      </c>
      <c r="O37" s="6">
        <v>900</v>
      </c>
      <c r="P37" s="6">
        <v>20</v>
      </c>
      <c r="Q37" s="6">
        <v>1.2</v>
      </c>
      <c r="R37" s="6">
        <v>9</v>
      </c>
      <c r="S37" s="6">
        <v>76</v>
      </c>
      <c r="T37" s="6" t="s">
        <v>428</v>
      </c>
      <c r="U37" s="6" t="s">
        <v>424</v>
      </c>
      <c r="V37" s="6" t="s">
        <v>425</v>
      </c>
      <c r="W37" s="6" t="s">
        <v>2</v>
      </c>
      <c r="X37" s="6" t="s">
        <v>2</v>
      </c>
    </row>
    <row r="38" spans="1:24" x14ac:dyDescent="0.25">
      <c r="A38" s="5" t="s">
        <v>249</v>
      </c>
      <c r="B38" s="6" t="s">
        <v>420</v>
      </c>
      <c r="C38" s="6" t="s">
        <v>451</v>
      </c>
      <c r="D38" s="6" t="s">
        <v>456</v>
      </c>
      <c r="E38" s="6">
        <v>98</v>
      </c>
      <c r="F38" s="6">
        <v>83</v>
      </c>
      <c r="G38" s="6">
        <v>100</v>
      </c>
      <c r="H38" s="9">
        <f>ROUND(E38*F38*G38/10000,1)</f>
        <v>81.3</v>
      </c>
      <c r="I38" s="6">
        <v>12</v>
      </c>
      <c r="J38" s="6">
        <v>10</v>
      </c>
      <c r="K38" s="6">
        <v>300</v>
      </c>
      <c r="L38" s="6">
        <v>360</v>
      </c>
      <c r="M38" s="6">
        <v>72</v>
      </c>
      <c r="N38" s="6">
        <v>0</v>
      </c>
      <c r="O38" s="6">
        <v>900</v>
      </c>
      <c r="P38" s="6">
        <v>20</v>
      </c>
      <c r="Q38" s="6">
        <v>1.2</v>
      </c>
      <c r="R38" s="6">
        <v>9</v>
      </c>
      <c r="S38" s="6">
        <v>88</v>
      </c>
      <c r="T38" s="6" t="s">
        <v>428</v>
      </c>
      <c r="U38" s="6" t="s">
        <v>424</v>
      </c>
      <c r="V38" s="6" t="s">
        <v>425</v>
      </c>
      <c r="W38" s="6" t="s">
        <v>2</v>
      </c>
      <c r="X38" s="6" t="s">
        <v>2</v>
      </c>
    </row>
    <row r="39" spans="1:24" x14ac:dyDescent="0.25">
      <c r="A39" s="5" t="s">
        <v>255</v>
      </c>
      <c r="B39" s="6" t="s">
        <v>446</v>
      </c>
      <c r="C39" s="6" t="s">
        <v>426</v>
      </c>
      <c r="D39" s="6" t="s">
        <v>2</v>
      </c>
      <c r="E39" s="6">
        <v>100</v>
      </c>
      <c r="F39" s="6">
        <v>70</v>
      </c>
      <c r="G39" s="6">
        <v>100</v>
      </c>
      <c r="H39" s="9">
        <f>ROUND(E39*F39*G39/10000,1)</f>
        <v>70</v>
      </c>
      <c r="I39" s="6">
        <v>6</v>
      </c>
      <c r="J39" s="6">
        <v>4</v>
      </c>
      <c r="K39" s="6">
        <v>900</v>
      </c>
      <c r="L39" s="6">
        <v>1100</v>
      </c>
      <c r="M39" s="6">
        <v>22</v>
      </c>
      <c r="N39" s="6">
        <v>0</v>
      </c>
      <c r="O39" s="6">
        <v>8000</v>
      </c>
      <c r="P39" s="6">
        <v>30</v>
      </c>
      <c r="Q39" s="6">
        <v>0.2</v>
      </c>
      <c r="R39" s="6">
        <v>64</v>
      </c>
      <c r="S39" s="6" t="s">
        <v>2</v>
      </c>
      <c r="T39" s="6" t="s">
        <v>428</v>
      </c>
      <c r="U39" s="6" t="s">
        <v>424</v>
      </c>
      <c r="V39" s="6" t="s">
        <v>425</v>
      </c>
      <c r="W39" s="6" t="s">
        <v>2</v>
      </c>
      <c r="X39" s="6" t="s">
        <v>2</v>
      </c>
    </row>
    <row r="40" spans="1:24" x14ac:dyDescent="0.25">
      <c r="A40" s="5" t="s">
        <v>261</v>
      </c>
      <c r="B40" s="6" t="s">
        <v>446</v>
      </c>
      <c r="C40" s="6" t="s">
        <v>426</v>
      </c>
      <c r="D40" s="6" t="s">
        <v>2</v>
      </c>
      <c r="E40" s="6">
        <v>100</v>
      </c>
      <c r="F40" s="6">
        <v>70</v>
      </c>
      <c r="G40" s="6">
        <v>100</v>
      </c>
      <c r="H40" s="9">
        <f>ROUND(E40*F40*G40/10000,1)</f>
        <v>70</v>
      </c>
      <c r="I40" s="6">
        <v>6</v>
      </c>
      <c r="J40" s="6">
        <v>4</v>
      </c>
      <c r="K40" s="6">
        <v>900</v>
      </c>
      <c r="L40" s="6">
        <v>1100</v>
      </c>
      <c r="M40" s="6">
        <v>22</v>
      </c>
      <c r="N40" s="6">
        <v>0</v>
      </c>
      <c r="O40" s="6">
        <v>8000</v>
      </c>
      <c r="P40" s="6">
        <v>30</v>
      </c>
      <c r="Q40" s="6">
        <v>0.2</v>
      </c>
      <c r="R40" s="6">
        <v>64</v>
      </c>
      <c r="S40" s="6" t="s">
        <v>2</v>
      </c>
      <c r="T40" s="6" t="s">
        <v>428</v>
      </c>
      <c r="U40" s="6" t="s">
        <v>424</v>
      </c>
      <c r="V40" s="6" t="s">
        <v>425</v>
      </c>
      <c r="W40" s="6" t="s">
        <v>2</v>
      </c>
      <c r="X40" s="6" t="s">
        <v>2</v>
      </c>
    </row>
    <row r="41" spans="1:24" x14ac:dyDescent="0.25">
      <c r="A41" s="5" t="s">
        <v>265</v>
      </c>
      <c r="B41" s="6" t="s">
        <v>446</v>
      </c>
      <c r="C41" s="6" t="s">
        <v>426</v>
      </c>
      <c r="D41" s="6" t="s">
        <v>2</v>
      </c>
      <c r="E41" s="6">
        <v>100</v>
      </c>
      <c r="F41" s="6">
        <v>70</v>
      </c>
      <c r="G41" s="6">
        <v>100</v>
      </c>
      <c r="H41" s="9">
        <f>ROUND(E41*F41*G41/10000,1)</f>
        <v>70</v>
      </c>
      <c r="I41" s="6">
        <v>6</v>
      </c>
      <c r="J41" s="6">
        <v>4</v>
      </c>
      <c r="K41" s="6">
        <v>900</v>
      </c>
      <c r="L41" s="6">
        <v>1100</v>
      </c>
      <c r="M41" s="6">
        <v>22</v>
      </c>
      <c r="N41" s="6">
        <v>0</v>
      </c>
      <c r="O41" s="6">
        <v>8000</v>
      </c>
      <c r="P41" s="6">
        <v>30</v>
      </c>
      <c r="Q41" s="6">
        <v>0.2</v>
      </c>
      <c r="R41" s="6">
        <v>64</v>
      </c>
      <c r="S41" s="6" t="s">
        <v>2</v>
      </c>
      <c r="T41" s="6" t="s">
        <v>428</v>
      </c>
      <c r="U41" s="6" t="s">
        <v>424</v>
      </c>
      <c r="V41" s="6" t="s">
        <v>425</v>
      </c>
      <c r="W41" s="6" t="s">
        <v>2</v>
      </c>
      <c r="X41" s="6" t="s">
        <v>2</v>
      </c>
    </row>
    <row r="42" spans="1:24" x14ac:dyDescent="0.25">
      <c r="A42" s="5" t="s">
        <v>269</v>
      </c>
      <c r="B42" s="6" t="s">
        <v>420</v>
      </c>
      <c r="C42" s="6" t="s">
        <v>426</v>
      </c>
      <c r="D42" s="6" t="s">
        <v>457</v>
      </c>
      <c r="E42" s="6">
        <v>98</v>
      </c>
      <c r="F42" s="6">
        <v>89</v>
      </c>
      <c r="G42" s="6">
        <v>100</v>
      </c>
      <c r="H42" s="9">
        <f>ROUND(E42*F42*G42/10000,1)</f>
        <v>87.2</v>
      </c>
      <c r="I42" s="6">
        <v>72</v>
      </c>
      <c r="J42" s="6">
        <v>64</v>
      </c>
      <c r="K42" s="6">
        <v>50</v>
      </c>
      <c r="L42" s="6">
        <v>56</v>
      </c>
      <c r="M42" s="6">
        <v>470</v>
      </c>
      <c r="N42" s="6">
        <v>0</v>
      </c>
      <c r="O42" s="6">
        <v>2200</v>
      </c>
      <c r="P42" s="6">
        <v>25</v>
      </c>
      <c r="Q42" s="6">
        <v>2.2</v>
      </c>
      <c r="R42" s="6">
        <v>15</v>
      </c>
      <c r="S42" s="6" t="s">
        <v>2</v>
      </c>
      <c r="T42" s="6" t="s">
        <v>428</v>
      </c>
      <c r="U42" s="6" t="s">
        <v>424</v>
      </c>
      <c r="V42" s="6" t="s">
        <v>425</v>
      </c>
      <c r="W42" s="6" t="s">
        <v>2</v>
      </c>
      <c r="X42" s="6" t="s">
        <v>2</v>
      </c>
    </row>
    <row r="43" spans="1:24" x14ac:dyDescent="0.25">
      <c r="A43" s="5" t="s">
        <v>276</v>
      </c>
      <c r="B43" s="6" t="s">
        <v>420</v>
      </c>
      <c r="C43" s="6" t="s">
        <v>426</v>
      </c>
      <c r="D43" s="6" t="s">
        <v>2</v>
      </c>
      <c r="E43" s="6">
        <v>99</v>
      </c>
      <c r="F43" s="6">
        <v>89</v>
      </c>
      <c r="G43" s="6">
        <v>100</v>
      </c>
      <c r="H43" s="9">
        <f>ROUND(E43*F43*G43/10000,1)</f>
        <v>88.1</v>
      </c>
      <c r="I43" s="6">
        <v>72</v>
      </c>
      <c r="J43" s="6">
        <v>64</v>
      </c>
      <c r="K43" s="6">
        <v>60</v>
      </c>
      <c r="L43" s="6">
        <v>66</v>
      </c>
      <c r="M43" s="6">
        <v>150</v>
      </c>
      <c r="N43" s="6">
        <v>0</v>
      </c>
      <c r="O43" s="6">
        <v>2600</v>
      </c>
      <c r="P43" s="6">
        <v>20</v>
      </c>
      <c r="Q43" s="6">
        <v>0.8</v>
      </c>
      <c r="R43" s="6">
        <v>5</v>
      </c>
      <c r="S43" s="6" t="s">
        <v>2</v>
      </c>
      <c r="T43" s="6" t="s">
        <v>428</v>
      </c>
      <c r="U43" s="6" t="s">
        <v>424</v>
      </c>
      <c r="V43" s="6" t="s">
        <v>425</v>
      </c>
      <c r="W43" s="6" t="s">
        <v>2</v>
      </c>
      <c r="X43" s="6" t="s">
        <v>2</v>
      </c>
    </row>
    <row r="44" spans="1:24" x14ac:dyDescent="0.25">
      <c r="A44" s="5" t="s">
        <v>280</v>
      </c>
      <c r="B44" s="6" t="s">
        <v>420</v>
      </c>
      <c r="C44" s="6" t="s">
        <v>426</v>
      </c>
      <c r="D44" s="6" t="s">
        <v>2</v>
      </c>
      <c r="E44" s="6">
        <v>99</v>
      </c>
      <c r="F44" s="6">
        <v>88</v>
      </c>
      <c r="G44" s="6">
        <v>100</v>
      </c>
      <c r="H44" s="9">
        <f>ROUND(E44*F44*G44/10000,1)</f>
        <v>87.1</v>
      </c>
      <c r="I44" s="6">
        <v>72</v>
      </c>
      <c r="J44" s="6">
        <v>63</v>
      </c>
      <c r="K44" s="6">
        <v>60</v>
      </c>
      <c r="L44" s="6">
        <v>66</v>
      </c>
      <c r="M44" s="6">
        <v>462</v>
      </c>
      <c r="N44" s="6">
        <v>0</v>
      </c>
      <c r="O44" s="6">
        <v>2600</v>
      </c>
      <c r="P44" s="6">
        <v>20</v>
      </c>
      <c r="Q44" s="6">
        <v>0.7</v>
      </c>
      <c r="R44" s="6">
        <v>5</v>
      </c>
      <c r="S44" s="6" t="s">
        <v>2</v>
      </c>
      <c r="T44" s="6" t="s">
        <v>428</v>
      </c>
      <c r="U44" s="6" t="s">
        <v>424</v>
      </c>
      <c r="V44" s="6" t="s">
        <v>425</v>
      </c>
      <c r="W44" s="6" t="s">
        <v>2</v>
      </c>
      <c r="X44" s="6" t="s">
        <v>2</v>
      </c>
    </row>
    <row r="45" spans="1:24" x14ac:dyDescent="0.25">
      <c r="A45" s="5" t="s">
        <v>285</v>
      </c>
      <c r="B45" s="6" t="s">
        <v>420</v>
      </c>
      <c r="C45" s="6" t="s">
        <v>458</v>
      </c>
      <c r="D45" s="6" t="s">
        <v>457</v>
      </c>
      <c r="E45" s="6">
        <v>98</v>
      </c>
      <c r="F45" s="6">
        <v>92</v>
      </c>
      <c r="G45" s="6">
        <v>100</v>
      </c>
      <c r="H45" s="9">
        <f>ROUND(E45*F45*G45/10000,1)</f>
        <v>90.2</v>
      </c>
      <c r="I45" s="6">
        <v>72</v>
      </c>
      <c r="J45" s="6">
        <v>66</v>
      </c>
      <c r="K45" s="6">
        <v>50</v>
      </c>
      <c r="L45" s="6">
        <v>54</v>
      </c>
      <c r="M45" s="6">
        <v>472</v>
      </c>
      <c r="N45" s="6">
        <v>0</v>
      </c>
      <c r="O45" s="6">
        <v>180</v>
      </c>
      <c r="P45" s="6">
        <v>25</v>
      </c>
      <c r="Q45" s="6">
        <v>4</v>
      </c>
      <c r="R45" s="6">
        <v>28</v>
      </c>
      <c r="S45" s="6" t="s">
        <v>2</v>
      </c>
      <c r="T45" s="6" t="s">
        <v>428</v>
      </c>
      <c r="U45" s="6" t="s">
        <v>424</v>
      </c>
      <c r="V45" s="6" t="s">
        <v>425</v>
      </c>
      <c r="W45" s="6" t="s">
        <v>2</v>
      </c>
      <c r="X45" s="6" t="s">
        <v>2</v>
      </c>
    </row>
    <row r="46" spans="1:24" x14ac:dyDescent="0.25">
      <c r="A46" s="5" t="s">
        <v>293</v>
      </c>
      <c r="B46" s="6" t="s">
        <v>420</v>
      </c>
      <c r="C46" s="6" t="s">
        <v>426</v>
      </c>
      <c r="D46" s="6" t="s">
        <v>457</v>
      </c>
      <c r="E46" s="6">
        <v>99</v>
      </c>
      <c r="F46" s="6">
        <v>90</v>
      </c>
      <c r="G46" s="6">
        <v>100</v>
      </c>
      <c r="H46" s="9">
        <f>ROUND(E46*F46*G46/10000,1)</f>
        <v>89.1</v>
      </c>
      <c r="I46" s="6">
        <v>72</v>
      </c>
      <c r="J46" s="6">
        <v>64</v>
      </c>
      <c r="K46" s="6">
        <v>50</v>
      </c>
      <c r="L46" s="6">
        <v>56</v>
      </c>
      <c r="M46" s="6">
        <v>468</v>
      </c>
      <c r="N46" s="6">
        <v>0</v>
      </c>
      <c r="O46" s="6">
        <v>4000</v>
      </c>
      <c r="P46" s="6">
        <v>30</v>
      </c>
      <c r="Q46" s="6">
        <v>1.6</v>
      </c>
      <c r="R46" s="6">
        <v>11</v>
      </c>
      <c r="S46" s="6" t="s">
        <v>2</v>
      </c>
      <c r="T46" s="6" t="s">
        <v>428</v>
      </c>
      <c r="U46" s="6" t="s">
        <v>424</v>
      </c>
      <c r="V46" s="6" t="s">
        <v>425</v>
      </c>
      <c r="W46" s="6" t="s">
        <v>2</v>
      </c>
      <c r="X46" s="6" t="s">
        <v>2</v>
      </c>
    </row>
    <row r="47" spans="1:24" x14ac:dyDescent="0.25">
      <c r="A47" s="5" t="s">
        <v>298</v>
      </c>
      <c r="B47" s="6" t="s">
        <v>420</v>
      </c>
      <c r="C47" s="6" t="s">
        <v>458</v>
      </c>
      <c r="D47" s="6" t="s">
        <v>457</v>
      </c>
      <c r="E47" s="6">
        <v>96</v>
      </c>
      <c r="F47" s="6">
        <v>90</v>
      </c>
      <c r="G47" s="6">
        <v>99.6</v>
      </c>
      <c r="H47" s="9">
        <f>ROUND(E47*F47*G47/10000,1)</f>
        <v>86.1</v>
      </c>
      <c r="I47" s="6">
        <v>72</v>
      </c>
      <c r="J47" s="6">
        <v>65</v>
      </c>
      <c r="K47" s="6">
        <v>50</v>
      </c>
      <c r="L47" s="6">
        <v>55</v>
      </c>
      <c r="M47" s="6">
        <v>468</v>
      </c>
      <c r="N47" s="6">
        <v>2</v>
      </c>
      <c r="O47" s="6">
        <v>180</v>
      </c>
      <c r="P47" s="6">
        <v>25</v>
      </c>
      <c r="Q47" s="6">
        <v>3</v>
      </c>
      <c r="R47" s="6">
        <v>20</v>
      </c>
      <c r="S47" s="6" t="s">
        <v>2</v>
      </c>
      <c r="T47" s="6" t="s">
        <v>428</v>
      </c>
      <c r="U47" s="6" t="s">
        <v>424</v>
      </c>
      <c r="V47" s="6" t="s">
        <v>425</v>
      </c>
      <c r="W47" s="6" t="s">
        <v>2</v>
      </c>
      <c r="X47" s="6" t="s">
        <v>2</v>
      </c>
    </row>
    <row r="48" spans="1:24" x14ac:dyDescent="0.25">
      <c r="A48" s="5" t="s">
        <v>303</v>
      </c>
      <c r="B48" s="6" t="s">
        <v>420</v>
      </c>
      <c r="C48" s="6" t="s">
        <v>426</v>
      </c>
      <c r="D48" s="6" t="s">
        <v>457</v>
      </c>
      <c r="E48" s="6">
        <v>99</v>
      </c>
      <c r="F48" s="6">
        <v>90</v>
      </c>
      <c r="G48" s="6">
        <v>100</v>
      </c>
      <c r="H48" s="9">
        <f>ROUND(E48*F48*G48/10000,1)</f>
        <v>89.1</v>
      </c>
      <c r="I48" s="6">
        <v>72</v>
      </c>
      <c r="J48" s="6">
        <v>64</v>
      </c>
      <c r="K48" s="6">
        <v>50</v>
      </c>
      <c r="L48" s="6">
        <v>56</v>
      </c>
      <c r="M48" s="6">
        <v>468</v>
      </c>
      <c r="N48" s="6">
        <v>0</v>
      </c>
      <c r="O48" s="6">
        <v>4000</v>
      </c>
      <c r="P48" s="6">
        <v>30</v>
      </c>
      <c r="Q48" s="6">
        <v>1.6</v>
      </c>
      <c r="R48" s="6">
        <v>11</v>
      </c>
      <c r="S48" s="6" t="s">
        <v>2</v>
      </c>
      <c r="T48" s="6" t="s">
        <v>428</v>
      </c>
      <c r="U48" s="6" t="s">
        <v>424</v>
      </c>
      <c r="V48" s="6" t="s">
        <v>425</v>
      </c>
      <c r="W48" s="6" t="s">
        <v>2</v>
      </c>
      <c r="X48" s="6" t="s">
        <v>2</v>
      </c>
    </row>
    <row r="49" spans="1:24" x14ac:dyDescent="0.25">
      <c r="A49" s="5" t="s">
        <v>309</v>
      </c>
      <c r="B49" s="6" t="s">
        <v>420</v>
      </c>
      <c r="C49" s="6" t="s">
        <v>458</v>
      </c>
      <c r="D49" s="6" t="s">
        <v>457</v>
      </c>
      <c r="E49" s="6">
        <v>97</v>
      </c>
      <c r="F49" s="6">
        <v>89</v>
      </c>
      <c r="G49" s="6">
        <v>99.8</v>
      </c>
      <c r="H49" s="9">
        <f>ROUND(E49*F49*G49/10000,1)</f>
        <v>86.2</v>
      </c>
      <c r="I49" s="6">
        <v>72</v>
      </c>
      <c r="J49" s="6">
        <v>64</v>
      </c>
      <c r="K49" s="6">
        <v>50</v>
      </c>
      <c r="L49" s="6">
        <v>56</v>
      </c>
      <c r="M49" s="6">
        <v>465</v>
      </c>
      <c r="N49" s="6">
        <v>1</v>
      </c>
      <c r="O49" s="6">
        <v>180</v>
      </c>
      <c r="P49" s="6">
        <v>25</v>
      </c>
      <c r="Q49" s="6">
        <v>4</v>
      </c>
      <c r="R49" s="6">
        <v>27</v>
      </c>
      <c r="S49" s="6" t="s">
        <v>2</v>
      </c>
      <c r="T49" s="6" t="s">
        <v>428</v>
      </c>
      <c r="U49" s="6" t="s">
        <v>424</v>
      </c>
      <c r="V49" s="6" t="s">
        <v>425</v>
      </c>
      <c r="W49" s="6" t="s">
        <v>2</v>
      </c>
      <c r="X49" s="6" t="s">
        <v>2</v>
      </c>
    </row>
    <row r="50" spans="1:24" x14ac:dyDescent="0.25">
      <c r="A50" s="5" t="s">
        <v>314</v>
      </c>
      <c r="B50" s="6" t="s">
        <v>420</v>
      </c>
      <c r="C50" s="6" t="s">
        <v>426</v>
      </c>
      <c r="D50" s="6" t="s">
        <v>457</v>
      </c>
      <c r="E50" s="6">
        <v>99</v>
      </c>
      <c r="F50" s="6">
        <v>90</v>
      </c>
      <c r="G50" s="6">
        <v>100</v>
      </c>
      <c r="H50" s="9">
        <f>ROUND(E50*F50*G50/10000,1)</f>
        <v>89.1</v>
      </c>
      <c r="I50" s="6">
        <v>72</v>
      </c>
      <c r="J50" s="6">
        <v>64</v>
      </c>
      <c r="K50" s="6">
        <v>50</v>
      </c>
      <c r="L50" s="6">
        <v>56</v>
      </c>
      <c r="M50" s="6">
        <v>468</v>
      </c>
      <c r="N50" s="6">
        <v>0</v>
      </c>
      <c r="O50" s="6">
        <v>4000</v>
      </c>
      <c r="P50" s="6">
        <v>30</v>
      </c>
      <c r="Q50" s="6">
        <v>1.6</v>
      </c>
      <c r="R50" s="6">
        <v>11</v>
      </c>
      <c r="S50" s="6" t="s">
        <v>2</v>
      </c>
      <c r="T50" s="6" t="s">
        <v>428</v>
      </c>
      <c r="U50" s="6" t="s">
        <v>424</v>
      </c>
      <c r="V50" s="6" t="s">
        <v>425</v>
      </c>
      <c r="W50" s="6" t="s">
        <v>2</v>
      </c>
      <c r="X50" s="6" t="s">
        <v>2</v>
      </c>
    </row>
    <row r="51" spans="1:24" x14ac:dyDescent="0.25">
      <c r="A51" s="5" t="s">
        <v>318</v>
      </c>
      <c r="B51" s="6" t="s">
        <v>420</v>
      </c>
      <c r="C51" s="6" t="s">
        <v>458</v>
      </c>
      <c r="D51" s="6" t="s">
        <v>457</v>
      </c>
      <c r="E51" s="6">
        <v>93</v>
      </c>
      <c r="F51" s="6">
        <v>87</v>
      </c>
      <c r="G51" s="6">
        <v>99.1</v>
      </c>
      <c r="H51" s="9">
        <f>ROUND(E51*F51*G51/10000,1)</f>
        <v>80.2</v>
      </c>
      <c r="I51" s="6">
        <v>72</v>
      </c>
      <c r="J51" s="6">
        <v>63</v>
      </c>
      <c r="K51" s="6">
        <v>50</v>
      </c>
      <c r="L51" s="6">
        <v>57</v>
      </c>
      <c r="M51" s="6">
        <v>459</v>
      </c>
      <c r="N51" s="6">
        <v>4</v>
      </c>
      <c r="O51" s="6">
        <v>180</v>
      </c>
      <c r="P51" s="6">
        <v>25</v>
      </c>
      <c r="Q51" s="6">
        <v>2.5</v>
      </c>
      <c r="R51" s="6">
        <v>18</v>
      </c>
      <c r="S51" s="6" t="s">
        <v>2</v>
      </c>
      <c r="T51" s="6" t="s">
        <v>428</v>
      </c>
      <c r="U51" s="6" t="s">
        <v>424</v>
      </c>
      <c r="V51" s="6" t="s">
        <v>425</v>
      </c>
      <c r="W51" s="6" t="s">
        <v>2</v>
      </c>
      <c r="X51" s="6" t="s">
        <v>2</v>
      </c>
    </row>
    <row r="52" spans="1:24" x14ac:dyDescent="0.25">
      <c r="A52" s="5" t="s">
        <v>323</v>
      </c>
      <c r="B52" s="6" t="s">
        <v>420</v>
      </c>
      <c r="C52" s="6" t="s">
        <v>458</v>
      </c>
      <c r="D52" s="6" t="s">
        <v>457</v>
      </c>
      <c r="E52" s="6">
        <v>99</v>
      </c>
      <c r="F52" s="6">
        <v>89</v>
      </c>
      <c r="G52" s="6">
        <v>98.7</v>
      </c>
      <c r="H52" s="9">
        <f>ROUND(E52*F52*G52/10000,1)</f>
        <v>87</v>
      </c>
      <c r="I52" s="6">
        <v>72</v>
      </c>
      <c r="J52" s="6">
        <v>64</v>
      </c>
      <c r="K52" s="6">
        <v>50</v>
      </c>
      <c r="L52" s="6">
        <v>56</v>
      </c>
      <c r="M52" s="6">
        <v>453</v>
      </c>
      <c r="N52" s="6">
        <v>6</v>
      </c>
      <c r="O52" s="6">
        <v>180</v>
      </c>
      <c r="P52" s="6">
        <v>25</v>
      </c>
      <c r="Q52" s="6">
        <v>1.2</v>
      </c>
      <c r="R52" s="6">
        <v>8</v>
      </c>
      <c r="S52" s="6" t="s">
        <v>2</v>
      </c>
      <c r="T52" s="6" t="s">
        <v>428</v>
      </c>
      <c r="U52" s="6" t="s">
        <v>424</v>
      </c>
      <c r="V52" s="6" t="s">
        <v>425</v>
      </c>
      <c r="W52" s="6" t="s">
        <v>2</v>
      </c>
      <c r="X52" s="6" t="s">
        <v>2</v>
      </c>
    </row>
    <row r="53" spans="1:24" x14ac:dyDescent="0.25">
      <c r="A53" s="5" t="s">
        <v>330</v>
      </c>
      <c r="B53" s="6" t="s">
        <v>420</v>
      </c>
      <c r="C53" s="6" t="s">
        <v>458</v>
      </c>
      <c r="D53" s="6" t="s">
        <v>457</v>
      </c>
      <c r="E53" s="6">
        <v>95</v>
      </c>
      <c r="F53" s="6">
        <v>88</v>
      </c>
      <c r="G53" s="6">
        <v>99.9</v>
      </c>
      <c r="H53" s="9">
        <f>ROUND(E53*F53*G53/10000,1)</f>
        <v>83.5</v>
      </c>
      <c r="I53" s="6">
        <v>72</v>
      </c>
      <c r="J53" s="6">
        <v>63</v>
      </c>
      <c r="K53" s="6">
        <v>50</v>
      </c>
      <c r="L53" s="6">
        <v>57</v>
      </c>
      <c r="M53" s="6">
        <v>452</v>
      </c>
      <c r="N53" s="6">
        <v>1</v>
      </c>
      <c r="O53" s="6">
        <v>180</v>
      </c>
      <c r="P53" s="6">
        <v>25</v>
      </c>
      <c r="Q53" s="6">
        <v>1.8</v>
      </c>
      <c r="R53" s="6">
        <v>12</v>
      </c>
      <c r="S53" s="6" t="s">
        <v>2</v>
      </c>
      <c r="T53" s="6" t="s">
        <v>459</v>
      </c>
      <c r="U53" s="6" t="s">
        <v>424</v>
      </c>
      <c r="V53" s="6" t="s">
        <v>425</v>
      </c>
      <c r="W53" s="6" t="s">
        <v>2</v>
      </c>
      <c r="X53" s="6" t="s">
        <v>2</v>
      </c>
    </row>
    <row r="54" spans="1:24" x14ac:dyDescent="0.25">
      <c r="A54" s="5" t="s">
        <v>335</v>
      </c>
      <c r="B54" s="6" t="s">
        <v>420</v>
      </c>
      <c r="C54" s="6" t="s">
        <v>426</v>
      </c>
      <c r="D54" s="6" t="s">
        <v>457</v>
      </c>
      <c r="E54" s="6">
        <v>99</v>
      </c>
      <c r="F54" s="6">
        <v>90</v>
      </c>
      <c r="G54" s="6">
        <v>100</v>
      </c>
      <c r="H54" s="9">
        <f>ROUND(E54*F54*G54/10000,1)</f>
        <v>89.1</v>
      </c>
      <c r="I54" s="6">
        <v>72</v>
      </c>
      <c r="J54" s="6">
        <v>64</v>
      </c>
      <c r="K54" s="6">
        <v>50</v>
      </c>
      <c r="L54" s="6">
        <v>56</v>
      </c>
      <c r="M54" s="6">
        <v>468</v>
      </c>
      <c r="N54" s="6">
        <v>0</v>
      </c>
      <c r="O54" s="6">
        <v>4000</v>
      </c>
      <c r="P54" s="6">
        <v>30</v>
      </c>
      <c r="Q54" s="6">
        <v>0.4</v>
      </c>
      <c r="R54" s="6">
        <v>3</v>
      </c>
      <c r="S54" s="6" t="s">
        <v>2</v>
      </c>
      <c r="T54" s="6" t="s">
        <v>428</v>
      </c>
      <c r="U54" s="6" t="s">
        <v>424</v>
      </c>
      <c r="V54" s="6" t="s">
        <v>425</v>
      </c>
      <c r="W54" s="6" t="s">
        <v>2</v>
      </c>
      <c r="X54" s="6" t="s">
        <v>2</v>
      </c>
    </row>
    <row r="55" spans="1:24" x14ac:dyDescent="0.25">
      <c r="A55" s="5" t="s">
        <v>341</v>
      </c>
      <c r="B55" s="6" t="s">
        <v>420</v>
      </c>
      <c r="C55" s="6" t="s">
        <v>458</v>
      </c>
      <c r="D55" s="6" t="s">
        <v>457</v>
      </c>
      <c r="E55" s="6">
        <v>97</v>
      </c>
      <c r="F55" s="6">
        <v>86</v>
      </c>
      <c r="G55" s="6">
        <v>100</v>
      </c>
      <c r="H55" s="9">
        <f>ROUND(E55*F55*G55/10000,1)</f>
        <v>83.4</v>
      </c>
      <c r="I55" s="6">
        <v>72</v>
      </c>
      <c r="J55" s="6">
        <v>62</v>
      </c>
      <c r="K55" s="6">
        <v>50</v>
      </c>
      <c r="L55" s="6">
        <v>58</v>
      </c>
      <c r="M55" s="6">
        <v>450</v>
      </c>
      <c r="N55" s="6">
        <v>0</v>
      </c>
      <c r="O55" s="6">
        <v>180</v>
      </c>
      <c r="P55" s="6">
        <v>25</v>
      </c>
      <c r="Q55" s="6">
        <v>4.5</v>
      </c>
      <c r="R55" s="6">
        <v>31</v>
      </c>
      <c r="S55" s="6" t="s">
        <v>2</v>
      </c>
      <c r="T55" s="6" t="s">
        <v>428</v>
      </c>
      <c r="U55" s="6" t="s">
        <v>424</v>
      </c>
      <c r="V55" s="6" t="s">
        <v>425</v>
      </c>
      <c r="W55" s="6" t="s">
        <v>2</v>
      </c>
      <c r="X55" s="6" t="s">
        <v>2</v>
      </c>
    </row>
    <row r="56" spans="1:24" x14ac:dyDescent="0.25">
      <c r="A56" s="5" t="s">
        <v>346</v>
      </c>
      <c r="B56" s="6" t="s">
        <v>420</v>
      </c>
      <c r="C56" s="6" t="s">
        <v>426</v>
      </c>
      <c r="D56" s="6" t="s">
        <v>457</v>
      </c>
      <c r="E56" s="6">
        <v>99</v>
      </c>
      <c r="F56" s="6">
        <v>90</v>
      </c>
      <c r="G56" s="6">
        <v>100</v>
      </c>
      <c r="H56" s="9">
        <f>ROUND(E56*F56*G56/10000,1)</f>
        <v>89.1</v>
      </c>
      <c r="I56" s="6">
        <v>72</v>
      </c>
      <c r="J56" s="6">
        <v>64</v>
      </c>
      <c r="K56" s="6">
        <v>50</v>
      </c>
      <c r="L56" s="6">
        <v>56</v>
      </c>
      <c r="M56" s="6">
        <v>468</v>
      </c>
      <c r="N56" s="6">
        <v>0</v>
      </c>
      <c r="O56" s="6">
        <v>4000</v>
      </c>
      <c r="P56" s="6">
        <v>30</v>
      </c>
      <c r="Q56" s="6">
        <v>1.6</v>
      </c>
      <c r="R56" s="6">
        <v>11</v>
      </c>
      <c r="S56" s="6" t="s">
        <v>2</v>
      </c>
      <c r="T56" s="6" t="s">
        <v>428</v>
      </c>
      <c r="U56" s="6" t="s">
        <v>424</v>
      </c>
      <c r="V56" s="6" t="s">
        <v>425</v>
      </c>
      <c r="W56" s="6" t="s">
        <v>2</v>
      </c>
      <c r="X56" s="6" t="s">
        <v>2</v>
      </c>
    </row>
    <row r="57" spans="1:24" x14ac:dyDescent="0.25">
      <c r="A57" s="5" t="s">
        <v>350</v>
      </c>
      <c r="B57" s="6" t="s">
        <v>420</v>
      </c>
      <c r="C57" s="6" t="s">
        <v>426</v>
      </c>
      <c r="D57" s="6" t="s">
        <v>460</v>
      </c>
      <c r="E57" s="6">
        <v>99</v>
      </c>
      <c r="F57" s="6">
        <v>86</v>
      </c>
      <c r="G57" s="6">
        <v>100</v>
      </c>
      <c r="H57" s="9">
        <f>ROUND(E57*F57*G57/10000,1)</f>
        <v>85.1</v>
      </c>
      <c r="I57" s="6">
        <v>72</v>
      </c>
      <c r="J57" s="6">
        <v>62</v>
      </c>
      <c r="K57" s="6">
        <v>50</v>
      </c>
      <c r="L57" s="6">
        <v>58</v>
      </c>
      <c r="M57" s="6">
        <v>450</v>
      </c>
      <c r="N57" s="6">
        <v>0</v>
      </c>
      <c r="O57" s="6">
        <v>5200</v>
      </c>
      <c r="P57" s="6">
        <v>30</v>
      </c>
      <c r="Q57" s="6">
        <v>3.4</v>
      </c>
      <c r="R57" s="6">
        <v>22</v>
      </c>
      <c r="S57" s="6" t="s">
        <v>2</v>
      </c>
      <c r="T57" s="6" t="s">
        <v>428</v>
      </c>
      <c r="U57" s="6" t="s">
        <v>424</v>
      </c>
      <c r="V57" s="6" t="s">
        <v>425</v>
      </c>
      <c r="W57" s="6" t="s">
        <v>2</v>
      </c>
      <c r="X57" s="6" t="s">
        <v>2</v>
      </c>
    </row>
    <row r="58" spans="1:24" x14ac:dyDescent="0.25">
      <c r="A58" s="5" t="s">
        <v>356</v>
      </c>
      <c r="B58" s="6" t="s">
        <v>420</v>
      </c>
      <c r="C58" s="6" t="s">
        <v>426</v>
      </c>
      <c r="D58" s="6" t="s">
        <v>461</v>
      </c>
      <c r="E58" s="6">
        <v>99</v>
      </c>
      <c r="F58" s="6">
        <v>87</v>
      </c>
      <c r="G58" s="6">
        <v>100</v>
      </c>
      <c r="H58" s="9">
        <f>ROUND(E58*F58*G58/10000,1)</f>
        <v>86.1</v>
      </c>
      <c r="I58" s="6">
        <v>6</v>
      </c>
      <c r="J58" s="6">
        <v>5.2</v>
      </c>
      <c r="K58" s="6">
        <v>600</v>
      </c>
      <c r="L58" s="6">
        <v>690</v>
      </c>
      <c r="M58" s="6">
        <v>37</v>
      </c>
      <c r="N58" s="6">
        <v>0</v>
      </c>
      <c r="O58" s="6">
        <v>6000</v>
      </c>
      <c r="P58" s="6">
        <v>25</v>
      </c>
      <c r="Q58" s="6">
        <v>1.1</v>
      </c>
      <c r="R58" s="6">
        <v>6</v>
      </c>
      <c r="S58" s="6" t="s">
        <v>2</v>
      </c>
      <c r="T58" s="6" t="s">
        <v>428</v>
      </c>
      <c r="U58" s="6" t="s">
        <v>424</v>
      </c>
      <c r="V58" s="6" t="s">
        <v>425</v>
      </c>
      <c r="W58" s="6" t="s">
        <v>2</v>
      </c>
      <c r="X58" s="6" t="s">
        <v>2</v>
      </c>
    </row>
    <row r="59" spans="1:24" x14ac:dyDescent="0.25">
      <c r="A59" s="5" t="s">
        <v>363</v>
      </c>
      <c r="B59" s="6" t="s">
        <v>420</v>
      </c>
      <c r="C59" s="6" t="s">
        <v>426</v>
      </c>
      <c r="D59" s="6" t="s">
        <v>462</v>
      </c>
      <c r="E59" s="6">
        <v>97</v>
      </c>
      <c r="F59" s="6">
        <v>75</v>
      </c>
      <c r="G59" s="6">
        <v>100</v>
      </c>
      <c r="H59" s="9">
        <f>ROUND(E59*F59*G59/10000,1)</f>
        <v>72.8</v>
      </c>
      <c r="I59" s="6">
        <v>4</v>
      </c>
      <c r="J59" s="6">
        <v>3</v>
      </c>
      <c r="K59" s="6">
        <v>900</v>
      </c>
      <c r="L59" s="6">
        <v>1200</v>
      </c>
      <c r="M59" s="6">
        <v>22</v>
      </c>
      <c r="N59" s="6">
        <v>0</v>
      </c>
      <c r="O59" s="6">
        <v>180</v>
      </c>
      <c r="P59" s="6">
        <v>25</v>
      </c>
      <c r="Q59" s="6">
        <v>1.5</v>
      </c>
      <c r="R59" s="6">
        <v>10</v>
      </c>
      <c r="S59" s="6" t="s">
        <v>2</v>
      </c>
      <c r="T59" s="6" t="s">
        <v>463</v>
      </c>
      <c r="U59" s="6" t="s">
        <v>424</v>
      </c>
      <c r="V59" s="6" t="s">
        <v>425</v>
      </c>
      <c r="W59" s="6" t="s">
        <v>2</v>
      </c>
      <c r="X59" s="6" t="s">
        <v>2</v>
      </c>
    </row>
    <row r="60" spans="1:24" x14ac:dyDescent="0.25">
      <c r="A60" s="5" t="s">
        <v>371</v>
      </c>
      <c r="B60" s="6" t="s">
        <v>420</v>
      </c>
      <c r="C60" s="6" t="s">
        <v>426</v>
      </c>
      <c r="D60" s="6" t="s">
        <v>464</v>
      </c>
      <c r="E60" s="6">
        <v>99</v>
      </c>
      <c r="F60" s="6">
        <v>74</v>
      </c>
      <c r="G60" s="6">
        <v>100</v>
      </c>
      <c r="H60" s="9">
        <f>ROUND(E60*F60*G60/10000,1)</f>
        <v>73.3</v>
      </c>
      <c r="I60" s="6">
        <v>19.8</v>
      </c>
      <c r="J60" s="6">
        <v>14.6</v>
      </c>
      <c r="K60" s="6">
        <v>1</v>
      </c>
      <c r="L60" s="6">
        <v>1</v>
      </c>
      <c r="M60" s="6">
        <v>0</v>
      </c>
      <c r="N60" s="6">
        <v>0</v>
      </c>
      <c r="O60" s="6">
        <v>8000</v>
      </c>
      <c r="P60" s="6">
        <v>90</v>
      </c>
      <c r="Q60" s="6">
        <v>82</v>
      </c>
      <c r="R60" s="6">
        <v>610</v>
      </c>
      <c r="S60" s="6" t="s">
        <v>2</v>
      </c>
      <c r="T60" s="6" t="s">
        <v>428</v>
      </c>
      <c r="U60" s="6" t="s">
        <v>424</v>
      </c>
      <c r="V60" s="6" t="s">
        <v>425</v>
      </c>
      <c r="W60" s="6" t="s">
        <v>2</v>
      </c>
      <c r="X60" s="6" t="s">
        <v>2</v>
      </c>
    </row>
    <row r="61" spans="1:24" x14ac:dyDescent="0.25">
      <c r="A61" s="5" t="s">
        <v>379</v>
      </c>
      <c r="B61" s="6" t="s">
        <v>446</v>
      </c>
      <c r="C61" s="6" t="s">
        <v>426</v>
      </c>
      <c r="D61" s="6" t="s">
        <v>464</v>
      </c>
      <c r="E61" s="6">
        <v>99</v>
      </c>
      <c r="F61" s="6">
        <v>74</v>
      </c>
      <c r="G61" s="6">
        <v>100</v>
      </c>
      <c r="H61" s="9">
        <f>ROUND(E61*F61*G61/10000,1)</f>
        <v>73.3</v>
      </c>
      <c r="I61" s="6">
        <v>19.8</v>
      </c>
      <c r="J61" s="6">
        <v>0</v>
      </c>
      <c r="K61" s="6">
        <v>1</v>
      </c>
      <c r="L61" s="6">
        <v>1</v>
      </c>
      <c r="M61" s="6">
        <v>0</v>
      </c>
      <c r="N61" s="6">
        <v>0</v>
      </c>
      <c r="O61" s="6">
        <v>8000</v>
      </c>
      <c r="P61" s="6">
        <v>90</v>
      </c>
      <c r="Q61" s="6">
        <v>3</v>
      </c>
      <c r="R61" s="6">
        <v>30</v>
      </c>
      <c r="S61" s="6" t="s">
        <v>2</v>
      </c>
      <c r="T61" s="6" t="s">
        <v>428</v>
      </c>
      <c r="U61" s="6" t="s">
        <v>424</v>
      </c>
      <c r="V61" s="6" t="s">
        <v>425</v>
      </c>
      <c r="W61" s="6" t="s">
        <v>2</v>
      </c>
      <c r="X61" s="6" t="s">
        <v>2</v>
      </c>
    </row>
    <row r="62" spans="1:24" x14ac:dyDescent="0.25">
      <c r="A62" s="5" t="s">
        <v>383</v>
      </c>
      <c r="B62" s="6" t="s">
        <v>420</v>
      </c>
      <c r="C62" s="6" t="s">
        <v>426</v>
      </c>
      <c r="D62" s="6" t="s">
        <v>465</v>
      </c>
      <c r="E62" s="6">
        <v>100</v>
      </c>
      <c r="F62" s="6">
        <v>73</v>
      </c>
      <c r="G62" s="6">
        <v>100</v>
      </c>
      <c r="H62" s="9">
        <f>ROUND(E62*F62*G62/10000,1)</f>
        <v>73</v>
      </c>
      <c r="I62" s="6">
        <v>420</v>
      </c>
      <c r="J62" s="6">
        <v>305</v>
      </c>
      <c r="K62" s="6">
        <v>1</v>
      </c>
      <c r="L62" s="6">
        <v>1</v>
      </c>
      <c r="M62" s="6">
        <v>0</v>
      </c>
      <c r="N62" s="6">
        <v>0</v>
      </c>
      <c r="O62" s="6">
        <v>9000</v>
      </c>
      <c r="P62" s="6">
        <v>120</v>
      </c>
      <c r="Q62" s="6">
        <v>78</v>
      </c>
      <c r="R62" s="6">
        <v>560</v>
      </c>
      <c r="S62" s="6" t="s">
        <v>2</v>
      </c>
      <c r="T62" s="6" t="s">
        <v>428</v>
      </c>
      <c r="U62" s="6" t="s">
        <v>424</v>
      </c>
      <c r="V62" s="6" t="s">
        <v>425</v>
      </c>
      <c r="W62" s="6" t="s">
        <v>2</v>
      </c>
      <c r="X62" s="6" t="s">
        <v>2</v>
      </c>
    </row>
    <row r="63" spans="1:24" x14ac:dyDescent="0.25">
      <c r="A63" s="5" t="s">
        <v>390</v>
      </c>
      <c r="B63" s="6" t="s">
        <v>420</v>
      </c>
      <c r="C63" s="6" t="s">
        <v>426</v>
      </c>
      <c r="D63" s="6" t="s">
        <v>466</v>
      </c>
      <c r="E63" s="6">
        <v>100</v>
      </c>
      <c r="F63" s="6">
        <v>53</v>
      </c>
      <c r="G63" s="6">
        <v>100</v>
      </c>
      <c r="H63" s="9">
        <f>ROUND(E63*F63*G63/10000,1)</f>
        <v>53</v>
      </c>
      <c r="I63" s="6">
        <v>2500</v>
      </c>
      <c r="J63" s="6">
        <v>1320</v>
      </c>
      <c r="K63" s="6">
        <v>1</v>
      </c>
      <c r="L63" s="6">
        <v>1</v>
      </c>
      <c r="M63" s="6">
        <v>0</v>
      </c>
      <c r="N63" s="6">
        <v>0</v>
      </c>
      <c r="O63" s="6">
        <v>50000</v>
      </c>
      <c r="P63" s="6">
        <v>240</v>
      </c>
      <c r="Q63" s="6">
        <v>1320</v>
      </c>
      <c r="R63" s="6">
        <v>9800</v>
      </c>
      <c r="S63" s="6" t="s">
        <v>2</v>
      </c>
      <c r="T63" s="6" t="s">
        <v>428</v>
      </c>
      <c r="U63" s="6" t="s">
        <v>424</v>
      </c>
      <c r="V63" s="6" t="s">
        <v>425</v>
      </c>
      <c r="W63" s="6" t="s">
        <v>2</v>
      </c>
      <c r="X63" s="6" t="s">
        <v>2</v>
      </c>
    </row>
  </sheetData>
  <autoFilter ref="A1:X1"/>
  <conditionalFormatting sqref="H2:H63">
    <cfRule type="colorScale" priority="1">
      <colorScale>
        <cfvo type="num" val="50"/>
        <cfvo type="num" val="75"/>
        <cfvo type="num" val="95"/>
        <color rgb="FFF8696B"/>
        <color rgb="FFFFEB84"/>
        <color rgb="FF63BE7B"/>
      </colorScale>
    </cfRule>
  </conditionalFormatting>
  <conditionalFormatting sqref="B2:B63">
    <cfRule type="containsText" dxfId="0" priority="2">
      <formula>NOT(ISERROR(SEARCH("Running",B2)))</formula>
    </cfRule>
    <cfRule type="containsText" dxfId="1" priority="3">
      <formula>NOT(ISERROR(SEARCH("Idle",B2)))</formula>
    </cfRule>
    <cfRule type="containsText" dxfId="2" priority="4">
      <formula>NOT(ISERROR(SEARCH("Setup",B2)))</formula>
    </cfRule>
    <cfRule type="containsText" dxfId="3" priority="5">
      <formula>NOT(ISERROR(SEARCH("Down",B2)))</formula>
    </cfRule>
    <cfRule type="containsText" dxfId="4" priority="6">
      <formula>NOT(ISERROR(SEARCH("Maintenance",B2)))</formula>
    </cfRule>
    <cfRule type="containsText" dxfId="5" priority="7">
      <formula>NOT(ISERROR(SEARCH("Offline",B2)))</formula>
    </cfRule>
  </conditionalFormatting>
  <dataValidations count="4">
    <dataValidation type="list" showErrorMessage="1" errorTitle="Status" error="Choose one of: Running, Idle, Setup, Down, Maintenance, Offline" sqref="B2:B63">
      <formula1>"Running,Idle,Setup,Down,Maintenance,Offline"</formula1>
    </dataValidation>
    <dataValidation type="decimal" showErrorMessage="1" error="Enter a percentage between 0 and 100" sqref="E2:E63">
      <formula1>0</formula1>
      <formula2>100</formula2>
    </dataValidation>
    <dataValidation type="decimal" showErrorMessage="1" error="Enter a percentage between 0 and 100" sqref="F2:F63">
      <formula1>0</formula1>
      <formula2>100</formula2>
    </dataValidation>
    <dataValidation type="decimal" showErrorMessage="1" error="Enter a percentage between 0 and 100" sqref="G2:G63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892B"/>
  </sheetPr>
  <dimension ref="A1:E5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18" customWidth="1"/>
    <col min="3" max="3" width="34" customWidth="1"/>
    <col min="4" max="4" width="44" customWidth="1"/>
    <col min="5" max="5" width="12" customWidth="1"/>
  </cols>
  <sheetData>
    <row r="1" ht="30" customHeight="1" spans="1:5" x14ac:dyDescent="0.25">
      <c r="A1" s="4" t="s">
        <v>36</v>
      </c>
      <c r="B1" s="4" t="s">
        <v>467</v>
      </c>
      <c r="C1" s="4" t="s">
        <v>468</v>
      </c>
      <c r="D1" s="4" t="s">
        <v>20</v>
      </c>
      <c r="E1" s="4" t="s">
        <v>469</v>
      </c>
    </row>
    <row r="2" spans="1:5" x14ac:dyDescent="0.25">
      <c r="A2" s="5" t="s">
        <v>47</v>
      </c>
      <c r="B2" s="6" t="s">
        <v>470</v>
      </c>
      <c r="C2" s="6" t="s">
        <v>471</v>
      </c>
      <c r="D2" s="6">
        <v>3500</v>
      </c>
      <c r="E2" s="6" t="s">
        <v>472</v>
      </c>
    </row>
    <row r="3" spans="1:5" x14ac:dyDescent="0.25">
      <c r="A3" s="5" t="s">
        <v>47</v>
      </c>
      <c r="B3" s="6" t="s">
        <v>470</v>
      </c>
      <c r="C3" s="6" t="s">
        <v>473</v>
      </c>
      <c r="D3" s="6" t="s">
        <v>474</v>
      </c>
      <c r="E3" s="6" t="s">
        <v>2</v>
      </c>
    </row>
    <row r="4" spans="1:5" x14ac:dyDescent="0.25">
      <c r="A4" s="5" t="s">
        <v>47</v>
      </c>
      <c r="B4" s="6" t="s">
        <v>470</v>
      </c>
      <c r="C4" s="6" t="s">
        <v>475</v>
      </c>
      <c r="D4" s="6">
        <v>17.8</v>
      </c>
      <c r="E4" s="6" t="s">
        <v>476</v>
      </c>
    </row>
    <row r="5" spans="1:5" x14ac:dyDescent="0.25">
      <c r="A5" s="5" t="s">
        <v>47</v>
      </c>
      <c r="B5" s="6" t="s">
        <v>470</v>
      </c>
      <c r="C5" s="6" t="s">
        <v>477</v>
      </c>
      <c r="D5" s="6" t="s">
        <v>478</v>
      </c>
      <c r="E5" s="6" t="s">
        <v>479</v>
      </c>
    </row>
    <row r="6" spans="1:5" x14ac:dyDescent="0.25">
      <c r="A6" s="5" t="s">
        <v>47</v>
      </c>
      <c r="B6" s="6" t="s">
        <v>480</v>
      </c>
      <c r="C6" s="6" t="s">
        <v>481</v>
      </c>
      <c r="D6" s="6">
        <v>650</v>
      </c>
      <c r="E6" s="6" t="s">
        <v>482</v>
      </c>
    </row>
    <row r="7" spans="1:5" x14ac:dyDescent="0.25">
      <c r="A7" s="5" t="s">
        <v>47</v>
      </c>
      <c r="B7" s="6" t="s">
        <v>480</v>
      </c>
      <c r="C7" s="6" t="s">
        <v>483</v>
      </c>
      <c r="D7" s="6" t="s">
        <v>484</v>
      </c>
      <c r="E7" s="6" t="s">
        <v>482</v>
      </c>
    </row>
    <row r="8" spans="1:5" x14ac:dyDescent="0.25">
      <c r="A8" s="5" t="s">
        <v>47</v>
      </c>
      <c r="B8" s="6" t="s">
        <v>480</v>
      </c>
      <c r="C8" s="6" t="s">
        <v>485</v>
      </c>
      <c r="D8" s="6" t="s">
        <v>486</v>
      </c>
      <c r="E8" s="6" t="s">
        <v>482</v>
      </c>
    </row>
    <row r="9" spans="1:5" x14ac:dyDescent="0.25">
      <c r="A9" s="5" t="s">
        <v>47</v>
      </c>
      <c r="B9" s="6" t="s">
        <v>480</v>
      </c>
      <c r="C9" s="6" t="s">
        <v>487</v>
      </c>
      <c r="D9" s="6" t="s">
        <v>488</v>
      </c>
      <c r="E9" s="6" t="s">
        <v>482</v>
      </c>
    </row>
    <row r="10" spans="1:5" x14ac:dyDescent="0.25">
      <c r="A10" s="5" t="s">
        <v>47</v>
      </c>
      <c r="B10" s="6" t="s">
        <v>489</v>
      </c>
      <c r="C10" s="6" t="s">
        <v>490</v>
      </c>
      <c r="D10" s="6">
        <v>60</v>
      </c>
      <c r="E10" s="6" t="s">
        <v>482</v>
      </c>
    </row>
    <row r="11" spans="1:5" x14ac:dyDescent="0.25">
      <c r="A11" s="5" t="s">
        <v>47</v>
      </c>
      <c r="B11" s="6" t="s">
        <v>489</v>
      </c>
      <c r="C11" s="6" t="s">
        <v>491</v>
      </c>
      <c r="D11" s="6">
        <v>790</v>
      </c>
      <c r="E11" s="6" t="s">
        <v>492</v>
      </c>
    </row>
    <row r="12" spans="1:5" x14ac:dyDescent="0.25">
      <c r="A12" s="5" t="s">
        <v>47</v>
      </c>
      <c r="B12" s="6" t="s">
        <v>489</v>
      </c>
      <c r="C12" s="6" t="s">
        <v>493</v>
      </c>
      <c r="D12" s="6">
        <v>1980</v>
      </c>
      <c r="E12" s="6" t="s">
        <v>494</v>
      </c>
    </row>
    <row r="13" spans="1:5" x14ac:dyDescent="0.25">
      <c r="A13" s="5" t="s">
        <v>47</v>
      </c>
      <c r="B13" s="6" t="s">
        <v>489</v>
      </c>
      <c r="C13" s="6" t="s">
        <v>495</v>
      </c>
      <c r="D13" s="6">
        <v>280</v>
      </c>
      <c r="E13" s="6" t="s">
        <v>496</v>
      </c>
    </row>
    <row r="14" spans="1:5" x14ac:dyDescent="0.25">
      <c r="A14" s="5" t="s">
        <v>47</v>
      </c>
      <c r="B14" s="6" t="s">
        <v>489</v>
      </c>
      <c r="C14" s="6" t="s">
        <v>497</v>
      </c>
      <c r="D14" s="6">
        <v>6</v>
      </c>
      <c r="E14" s="6" t="s">
        <v>2</v>
      </c>
    </row>
    <row r="15" spans="1:5" x14ac:dyDescent="0.25">
      <c r="A15" s="5" t="s">
        <v>47</v>
      </c>
      <c r="B15" s="6" t="s">
        <v>498</v>
      </c>
      <c r="C15" s="6" t="s">
        <v>499</v>
      </c>
      <c r="D15" s="6">
        <v>110</v>
      </c>
      <c r="E15" s="6" t="s">
        <v>500</v>
      </c>
    </row>
    <row r="16" spans="1:5" x14ac:dyDescent="0.25">
      <c r="A16" s="5" t="s">
        <v>47</v>
      </c>
      <c r="B16" s="6" t="s">
        <v>498</v>
      </c>
      <c r="C16" s="6" t="s">
        <v>501</v>
      </c>
      <c r="D16" s="6">
        <v>25</v>
      </c>
      <c r="E16" s="6" t="s">
        <v>500</v>
      </c>
    </row>
    <row r="17" spans="1:5" x14ac:dyDescent="0.25">
      <c r="A17" s="5" t="s">
        <v>47</v>
      </c>
      <c r="B17" s="6" t="s">
        <v>502</v>
      </c>
      <c r="C17" s="6" t="s">
        <v>503</v>
      </c>
      <c r="D17" s="6" t="s">
        <v>504</v>
      </c>
      <c r="E17" s="6" t="s">
        <v>2</v>
      </c>
    </row>
    <row r="18" spans="1:5" x14ac:dyDescent="0.25">
      <c r="A18" s="5" t="s">
        <v>47</v>
      </c>
      <c r="B18" s="6" t="s">
        <v>502</v>
      </c>
      <c r="C18" s="6" t="s">
        <v>505</v>
      </c>
      <c r="D18" s="6" t="s">
        <v>506</v>
      </c>
      <c r="E18" s="6" t="s">
        <v>2</v>
      </c>
    </row>
    <row r="19" spans="1:5" x14ac:dyDescent="0.25">
      <c r="A19" s="5" t="s">
        <v>47</v>
      </c>
      <c r="B19" s="6" t="s">
        <v>502</v>
      </c>
      <c r="C19" s="6" t="s">
        <v>507</v>
      </c>
      <c r="D19" s="6">
        <v>4</v>
      </c>
      <c r="E19" s="6" t="s">
        <v>2</v>
      </c>
    </row>
    <row r="20" spans="1:5" x14ac:dyDescent="0.25">
      <c r="A20" s="5" t="s">
        <v>47</v>
      </c>
      <c r="B20" s="6" t="s">
        <v>502</v>
      </c>
      <c r="C20" s="6" t="s">
        <v>508</v>
      </c>
      <c r="D20" s="6">
        <v>265</v>
      </c>
      <c r="E20" s="6" t="s">
        <v>509</v>
      </c>
    </row>
    <row r="21" spans="1:5" x14ac:dyDescent="0.25">
      <c r="A21" s="5" t="s">
        <v>47</v>
      </c>
      <c r="B21" s="6" t="s">
        <v>502</v>
      </c>
      <c r="C21" s="6" t="s">
        <v>510</v>
      </c>
      <c r="D21" s="6">
        <v>70</v>
      </c>
      <c r="E21" s="6" t="s">
        <v>509</v>
      </c>
    </row>
    <row r="22" spans="1:5" x14ac:dyDescent="0.25">
      <c r="A22" s="5" t="s">
        <v>47</v>
      </c>
      <c r="B22" s="6" t="s">
        <v>511</v>
      </c>
      <c r="C22" s="6" t="s">
        <v>512</v>
      </c>
      <c r="D22" s="6" t="s">
        <v>513</v>
      </c>
      <c r="E22" s="6" t="s">
        <v>2</v>
      </c>
    </row>
    <row r="23" spans="1:5" x14ac:dyDescent="0.25">
      <c r="A23" s="5" t="s">
        <v>56</v>
      </c>
      <c r="B23" s="6" t="s">
        <v>470</v>
      </c>
      <c r="C23" s="6" t="s">
        <v>514</v>
      </c>
      <c r="D23" s="6" t="s">
        <v>515</v>
      </c>
      <c r="E23" s="6" t="s">
        <v>2</v>
      </c>
    </row>
    <row r="24" spans="1:5" x14ac:dyDescent="0.25">
      <c r="A24" s="5" t="s">
        <v>56</v>
      </c>
      <c r="B24" s="6" t="s">
        <v>470</v>
      </c>
      <c r="C24" s="6" t="s">
        <v>516</v>
      </c>
      <c r="D24" s="6">
        <v>15</v>
      </c>
      <c r="E24" s="6" t="s">
        <v>517</v>
      </c>
    </row>
    <row r="25" spans="1:5" x14ac:dyDescent="0.25">
      <c r="A25" s="5" t="s">
        <v>56</v>
      </c>
      <c r="B25" s="6" t="s">
        <v>518</v>
      </c>
      <c r="C25" s="6" t="s">
        <v>519</v>
      </c>
      <c r="D25" s="6">
        <v>2600</v>
      </c>
      <c r="E25" s="6" t="s">
        <v>482</v>
      </c>
    </row>
    <row r="26" spans="1:5" x14ac:dyDescent="0.25">
      <c r="A26" s="5" t="s">
        <v>56</v>
      </c>
      <c r="B26" s="6" t="s">
        <v>518</v>
      </c>
      <c r="C26" s="6" t="s">
        <v>520</v>
      </c>
      <c r="D26" s="6">
        <v>900</v>
      </c>
      <c r="E26" s="6" t="s">
        <v>482</v>
      </c>
    </row>
    <row r="27" spans="1:5" x14ac:dyDescent="0.25">
      <c r="A27" s="5" t="s">
        <v>56</v>
      </c>
      <c r="B27" s="6" t="s">
        <v>518</v>
      </c>
      <c r="C27" s="6" t="s">
        <v>521</v>
      </c>
      <c r="D27" s="6">
        <v>1400</v>
      </c>
      <c r="E27" s="6" t="s">
        <v>482</v>
      </c>
    </row>
    <row r="28" spans="1:5" x14ac:dyDescent="0.25">
      <c r="A28" s="5" t="s">
        <v>56</v>
      </c>
      <c r="B28" s="6" t="s">
        <v>522</v>
      </c>
      <c r="C28" s="6" t="s">
        <v>523</v>
      </c>
      <c r="D28" s="6">
        <v>4.5</v>
      </c>
      <c r="E28" s="6" t="s">
        <v>524</v>
      </c>
    </row>
    <row r="29" spans="1:5" x14ac:dyDescent="0.25">
      <c r="A29" s="5" t="s">
        <v>56</v>
      </c>
      <c r="B29" s="6" t="s">
        <v>522</v>
      </c>
      <c r="C29" s="6" t="s">
        <v>525</v>
      </c>
      <c r="D29" s="6">
        <v>0.9</v>
      </c>
      <c r="E29" s="6" t="s">
        <v>526</v>
      </c>
    </row>
    <row r="30" spans="1:5" x14ac:dyDescent="0.25">
      <c r="A30" s="5" t="s">
        <v>56</v>
      </c>
      <c r="B30" s="6" t="s">
        <v>527</v>
      </c>
      <c r="C30" s="6" t="s">
        <v>528</v>
      </c>
      <c r="D30" s="6" t="s">
        <v>529</v>
      </c>
      <c r="E30" s="6" t="s">
        <v>2</v>
      </c>
    </row>
    <row r="31" spans="1:5" x14ac:dyDescent="0.25">
      <c r="A31" s="5" t="s">
        <v>56</v>
      </c>
      <c r="B31" s="6" t="s">
        <v>498</v>
      </c>
      <c r="C31" s="6" t="s">
        <v>530</v>
      </c>
      <c r="D31" s="6" t="s">
        <v>531</v>
      </c>
      <c r="E31" s="6" t="s">
        <v>2</v>
      </c>
    </row>
    <row r="32" spans="1:5" x14ac:dyDescent="0.25">
      <c r="A32" s="5" t="s">
        <v>56</v>
      </c>
      <c r="B32" s="6" t="s">
        <v>532</v>
      </c>
      <c r="C32" s="6" t="s">
        <v>533</v>
      </c>
      <c r="D32" s="6" t="s">
        <v>534</v>
      </c>
      <c r="E32" s="6" t="s">
        <v>2</v>
      </c>
    </row>
    <row r="33" spans="1:5" x14ac:dyDescent="0.25">
      <c r="A33" s="5" t="s">
        <v>64</v>
      </c>
      <c r="B33" s="6" t="s">
        <v>470</v>
      </c>
      <c r="C33" s="6" t="s">
        <v>40</v>
      </c>
      <c r="D33" s="6" t="s">
        <v>535</v>
      </c>
      <c r="E33" s="6" t="s">
        <v>2</v>
      </c>
    </row>
    <row r="34" spans="1:5" x14ac:dyDescent="0.25">
      <c r="A34" s="5" t="s">
        <v>64</v>
      </c>
      <c r="B34" s="6" t="s">
        <v>470</v>
      </c>
      <c r="C34" s="6" t="s">
        <v>536</v>
      </c>
      <c r="D34" s="6">
        <v>20.7</v>
      </c>
      <c r="E34" s="6" t="s">
        <v>479</v>
      </c>
    </row>
    <row r="35" spans="1:5" x14ac:dyDescent="0.25">
      <c r="A35" s="5" t="s">
        <v>64</v>
      </c>
      <c r="B35" s="6" t="s">
        <v>470</v>
      </c>
      <c r="C35" s="6" t="s">
        <v>537</v>
      </c>
      <c r="D35" s="6">
        <v>400</v>
      </c>
      <c r="E35" s="6" t="s">
        <v>482</v>
      </c>
    </row>
    <row r="36" spans="1:5" x14ac:dyDescent="0.25">
      <c r="A36" s="5" t="s">
        <v>64</v>
      </c>
      <c r="B36" s="6" t="s">
        <v>538</v>
      </c>
      <c r="C36" s="6" t="s">
        <v>539</v>
      </c>
      <c r="D36" s="6" t="s">
        <v>540</v>
      </c>
      <c r="E36" s="6" t="s">
        <v>2</v>
      </c>
    </row>
    <row r="37" spans="1:5" x14ac:dyDescent="0.25">
      <c r="A37" s="5" t="s">
        <v>64</v>
      </c>
      <c r="B37" s="6" t="s">
        <v>538</v>
      </c>
      <c r="C37" s="6" t="s">
        <v>541</v>
      </c>
      <c r="D37" s="6" t="s">
        <v>542</v>
      </c>
      <c r="E37" s="6" t="s">
        <v>543</v>
      </c>
    </row>
    <row r="38" spans="1:5" x14ac:dyDescent="0.25">
      <c r="A38" s="5" t="s">
        <v>64</v>
      </c>
      <c r="B38" s="6" t="s">
        <v>544</v>
      </c>
      <c r="C38" s="6" t="s">
        <v>545</v>
      </c>
      <c r="D38" s="6" t="s">
        <v>546</v>
      </c>
      <c r="E38" s="6" t="s">
        <v>2</v>
      </c>
    </row>
    <row r="39" spans="1:5" x14ac:dyDescent="0.25">
      <c r="A39" s="5" t="s">
        <v>64</v>
      </c>
      <c r="B39" s="6" t="s">
        <v>544</v>
      </c>
      <c r="C39" s="6" t="s">
        <v>547</v>
      </c>
      <c r="D39" s="6" t="s">
        <v>548</v>
      </c>
      <c r="E39" s="6" t="s">
        <v>2</v>
      </c>
    </row>
    <row r="40" spans="1:5" x14ac:dyDescent="0.25">
      <c r="A40" s="5" t="s">
        <v>72</v>
      </c>
      <c r="B40" s="6" t="s">
        <v>470</v>
      </c>
      <c r="C40" s="6" t="s">
        <v>471</v>
      </c>
      <c r="D40" s="6">
        <v>3500</v>
      </c>
      <c r="E40" s="6" t="s">
        <v>472</v>
      </c>
    </row>
    <row r="41" spans="1:5" x14ac:dyDescent="0.25">
      <c r="A41" s="5" t="s">
        <v>72</v>
      </c>
      <c r="B41" s="6" t="s">
        <v>470</v>
      </c>
      <c r="C41" s="6" t="s">
        <v>473</v>
      </c>
      <c r="D41" s="6" t="s">
        <v>474</v>
      </c>
      <c r="E41" s="6" t="s">
        <v>2</v>
      </c>
    </row>
    <row r="42" spans="1:5" x14ac:dyDescent="0.25">
      <c r="A42" s="5" t="s">
        <v>72</v>
      </c>
      <c r="B42" s="6" t="s">
        <v>470</v>
      </c>
      <c r="C42" s="6" t="s">
        <v>475</v>
      </c>
      <c r="D42" s="6">
        <v>17.8</v>
      </c>
      <c r="E42" s="6" t="s">
        <v>476</v>
      </c>
    </row>
    <row r="43" spans="1:5" x14ac:dyDescent="0.25">
      <c r="A43" s="5" t="s">
        <v>72</v>
      </c>
      <c r="B43" s="6" t="s">
        <v>470</v>
      </c>
      <c r="C43" s="6" t="s">
        <v>477</v>
      </c>
      <c r="D43" s="6" t="s">
        <v>478</v>
      </c>
      <c r="E43" s="6" t="s">
        <v>479</v>
      </c>
    </row>
    <row r="44" spans="1:5" x14ac:dyDescent="0.25">
      <c r="A44" s="5" t="s">
        <v>72</v>
      </c>
      <c r="B44" s="6" t="s">
        <v>480</v>
      </c>
      <c r="C44" s="6" t="s">
        <v>481</v>
      </c>
      <c r="D44" s="6">
        <v>650</v>
      </c>
      <c r="E44" s="6" t="s">
        <v>482</v>
      </c>
    </row>
    <row r="45" spans="1:5" x14ac:dyDescent="0.25">
      <c r="A45" s="5" t="s">
        <v>72</v>
      </c>
      <c r="B45" s="6" t="s">
        <v>480</v>
      </c>
      <c r="C45" s="6" t="s">
        <v>483</v>
      </c>
      <c r="D45" s="6" t="s">
        <v>484</v>
      </c>
      <c r="E45" s="6" t="s">
        <v>482</v>
      </c>
    </row>
    <row r="46" spans="1:5" x14ac:dyDescent="0.25">
      <c r="A46" s="5" t="s">
        <v>72</v>
      </c>
      <c r="B46" s="6" t="s">
        <v>480</v>
      </c>
      <c r="C46" s="6" t="s">
        <v>485</v>
      </c>
      <c r="D46" s="6" t="s">
        <v>486</v>
      </c>
      <c r="E46" s="6" t="s">
        <v>482</v>
      </c>
    </row>
    <row r="47" spans="1:5" x14ac:dyDescent="0.25">
      <c r="A47" s="5" t="s">
        <v>72</v>
      </c>
      <c r="B47" s="6" t="s">
        <v>480</v>
      </c>
      <c r="C47" s="6" t="s">
        <v>487</v>
      </c>
      <c r="D47" s="6" t="s">
        <v>488</v>
      </c>
      <c r="E47" s="6" t="s">
        <v>482</v>
      </c>
    </row>
    <row r="48" spans="1:5" x14ac:dyDescent="0.25">
      <c r="A48" s="5" t="s">
        <v>72</v>
      </c>
      <c r="B48" s="6" t="s">
        <v>489</v>
      </c>
      <c r="C48" s="6" t="s">
        <v>490</v>
      </c>
      <c r="D48" s="6">
        <v>60</v>
      </c>
      <c r="E48" s="6" t="s">
        <v>482</v>
      </c>
    </row>
    <row r="49" spans="1:5" x14ac:dyDescent="0.25">
      <c r="A49" s="5" t="s">
        <v>72</v>
      </c>
      <c r="B49" s="6" t="s">
        <v>489</v>
      </c>
      <c r="C49" s="6" t="s">
        <v>491</v>
      </c>
      <c r="D49" s="6">
        <v>790</v>
      </c>
      <c r="E49" s="6" t="s">
        <v>492</v>
      </c>
    </row>
    <row r="50" spans="1:5" x14ac:dyDescent="0.25">
      <c r="A50" s="5" t="s">
        <v>72</v>
      </c>
      <c r="B50" s="6" t="s">
        <v>489</v>
      </c>
      <c r="C50" s="6" t="s">
        <v>493</v>
      </c>
      <c r="D50" s="6">
        <v>1980</v>
      </c>
      <c r="E50" s="6" t="s">
        <v>494</v>
      </c>
    </row>
    <row r="51" spans="1:5" x14ac:dyDescent="0.25">
      <c r="A51" s="5" t="s">
        <v>72</v>
      </c>
      <c r="B51" s="6" t="s">
        <v>489</v>
      </c>
      <c r="C51" s="6" t="s">
        <v>495</v>
      </c>
      <c r="D51" s="6">
        <v>280</v>
      </c>
      <c r="E51" s="6" t="s">
        <v>496</v>
      </c>
    </row>
    <row r="52" spans="1:5" x14ac:dyDescent="0.25">
      <c r="A52" s="5" t="s">
        <v>72</v>
      </c>
      <c r="B52" s="6" t="s">
        <v>489</v>
      </c>
      <c r="C52" s="6" t="s">
        <v>497</v>
      </c>
      <c r="D52" s="6">
        <v>6</v>
      </c>
      <c r="E52" s="6" t="s">
        <v>2</v>
      </c>
    </row>
    <row r="53" spans="1:5" x14ac:dyDescent="0.25">
      <c r="A53" s="5" t="s">
        <v>72</v>
      </c>
      <c r="B53" s="6" t="s">
        <v>498</v>
      </c>
      <c r="C53" s="6" t="s">
        <v>499</v>
      </c>
      <c r="D53" s="6">
        <v>110</v>
      </c>
      <c r="E53" s="6" t="s">
        <v>500</v>
      </c>
    </row>
    <row r="54" spans="1:5" x14ac:dyDescent="0.25">
      <c r="A54" s="5" t="s">
        <v>72</v>
      </c>
      <c r="B54" s="6" t="s">
        <v>498</v>
      </c>
      <c r="C54" s="6" t="s">
        <v>501</v>
      </c>
      <c r="D54" s="6">
        <v>25</v>
      </c>
      <c r="E54" s="6" t="s">
        <v>500</v>
      </c>
    </row>
    <row r="55" spans="1:5" x14ac:dyDescent="0.25">
      <c r="A55" s="5" t="s">
        <v>72</v>
      </c>
      <c r="B55" s="6" t="s">
        <v>502</v>
      </c>
      <c r="C55" s="6" t="s">
        <v>503</v>
      </c>
      <c r="D55" s="6" t="s">
        <v>504</v>
      </c>
      <c r="E55" s="6" t="s">
        <v>2</v>
      </c>
    </row>
    <row r="56" spans="1:5" x14ac:dyDescent="0.25">
      <c r="A56" s="5" t="s">
        <v>72</v>
      </c>
      <c r="B56" s="6" t="s">
        <v>502</v>
      </c>
      <c r="C56" s="6" t="s">
        <v>505</v>
      </c>
      <c r="D56" s="6" t="s">
        <v>506</v>
      </c>
      <c r="E56" s="6" t="s">
        <v>2</v>
      </c>
    </row>
    <row r="57" spans="1:5" x14ac:dyDescent="0.25">
      <c r="A57" s="5" t="s">
        <v>72</v>
      </c>
      <c r="B57" s="6" t="s">
        <v>502</v>
      </c>
      <c r="C57" s="6" t="s">
        <v>507</v>
      </c>
      <c r="D57" s="6">
        <v>4</v>
      </c>
      <c r="E57" s="6" t="s">
        <v>2</v>
      </c>
    </row>
    <row r="58" spans="1:5" x14ac:dyDescent="0.25">
      <c r="A58" s="5" t="s">
        <v>72</v>
      </c>
      <c r="B58" s="6" t="s">
        <v>502</v>
      </c>
      <c r="C58" s="6" t="s">
        <v>508</v>
      </c>
      <c r="D58" s="6">
        <v>265</v>
      </c>
      <c r="E58" s="6" t="s">
        <v>509</v>
      </c>
    </row>
    <row r="59" spans="1:5" x14ac:dyDescent="0.25">
      <c r="A59" s="5" t="s">
        <v>72</v>
      </c>
      <c r="B59" s="6" t="s">
        <v>502</v>
      </c>
      <c r="C59" s="6" t="s">
        <v>510</v>
      </c>
      <c r="D59" s="6">
        <v>70</v>
      </c>
      <c r="E59" s="6" t="s">
        <v>509</v>
      </c>
    </row>
    <row r="60" spans="1:5" x14ac:dyDescent="0.25">
      <c r="A60" s="5" t="s">
        <v>72</v>
      </c>
      <c r="B60" s="6" t="s">
        <v>511</v>
      </c>
      <c r="C60" s="6" t="s">
        <v>512</v>
      </c>
      <c r="D60" s="6" t="s">
        <v>513</v>
      </c>
      <c r="E60" s="6" t="s">
        <v>2</v>
      </c>
    </row>
    <row r="61" spans="1:5" x14ac:dyDescent="0.25">
      <c r="A61" s="5" t="s">
        <v>76</v>
      </c>
      <c r="B61" s="6" t="s">
        <v>470</v>
      </c>
      <c r="C61" s="6" t="s">
        <v>514</v>
      </c>
      <c r="D61" s="6" t="s">
        <v>515</v>
      </c>
      <c r="E61" s="6" t="s">
        <v>2</v>
      </c>
    </row>
    <row r="62" spans="1:5" x14ac:dyDescent="0.25">
      <c r="A62" s="5" t="s">
        <v>76</v>
      </c>
      <c r="B62" s="6" t="s">
        <v>470</v>
      </c>
      <c r="C62" s="6" t="s">
        <v>516</v>
      </c>
      <c r="D62" s="6">
        <v>15</v>
      </c>
      <c r="E62" s="6" t="s">
        <v>517</v>
      </c>
    </row>
    <row r="63" spans="1:5" x14ac:dyDescent="0.25">
      <c r="A63" s="5" t="s">
        <v>76</v>
      </c>
      <c r="B63" s="6" t="s">
        <v>518</v>
      </c>
      <c r="C63" s="6" t="s">
        <v>519</v>
      </c>
      <c r="D63" s="6">
        <v>2600</v>
      </c>
      <c r="E63" s="6" t="s">
        <v>482</v>
      </c>
    </row>
    <row r="64" spans="1:5" x14ac:dyDescent="0.25">
      <c r="A64" s="5" t="s">
        <v>76</v>
      </c>
      <c r="B64" s="6" t="s">
        <v>518</v>
      </c>
      <c r="C64" s="6" t="s">
        <v>520</v>
      </c>
      <c r="D64" s="6">
        <v>900</v>
      </c>
      <c r="E64" s="6" t="s">
        <v>482</v>
      </c>
    </row>
    <row r="65" spans="1:5" x14ac:dyDescent="0.25">
      <c r="A65" s="5" t="s">
        <v>76</v>
      </c>
      <c r="B65" s="6" t="s">
        <v>518</v>
      </c>
      <c r="C65" s="6" t="s">
        <v>521</v>
      </c>
      <c r="D65" s="6">
        <v>1400</v>
      </c>
      <c r="E65" s="6" t="s">
        <v>482</v>
      </c>
    </row>
    <row r="66" spans="1:5" x14ac:dyDescent="0.25">
      <c r="A66" s="5" t="s">
        <v>76</v>
      </c>
      <c r="B66" s="6" t="s">
        <v>522</v>
      </c>
      <c r="C66" s="6" t="s">
        <v>523</v>
      </c>
      <c r="D66" s="6">
        <v>4.5</v>
      </c>
      <c r="E66" s="6" t="s">
        <v>524</v>
      </c>
    </row>
    <row r="67" spans="1:5" x14ac:dyDescent="0.25">
      <c r="A67" s="5" t="s">
        <v>76</v>
      </c>
      <c r="B67" s="6" t="s">
        <v>522</v>
      </c>
      <c r="C67" s="6" t="s">
        <v>525</v>
      </c>
      <c r="D67" s="6">
        <v>0.9</v>
      </c>
      <c r="E67" s="6" t="s">
        <v>526</v>
      </c>
    </row>
    <row r="68" spans="1:5" x14ac:dyDescent="0.25">
      <c r="A68" s="5" t="s">
        <v>76</v>
      </c>
      <c r="B68" s="6" t="s">
        <v>527</v>
      </c>
      <c r="C68" s="6" t="s">
        <v>528</v>
      </c>
      <c r="D68" s="6" t="s">
        <v>529</v>
      </c>
      <c r="E68" s="6" t="s">
        <v>2</v>
      </c>
    </row>
    <row r="69" spans="1:5" x14ac:dyDescent="0.25">
      <c r="A69" s="5" t="s">
        <v>76</v>
      </c>
      <c r="B69" s="6" t="s">
        <v>498</v>
      </c>
      <c r="C69" s="6" t="s">
        <v>530</v>
      </c>
      <c r="D69" s="6" t="s">
        <v>531</v>
      </c>
      <c r="E69" s="6" t="s">
        <v>2</v>
      </c>
    </row>
    <row r="70" spans="1:5" x14ac:dyDescent="0.25">
      <c r="A70" s="5" t="s">
        <v>76</v>
      </c>
      <c r="B70" s="6" t="s">
        <v>532</v>
      </c>
      <c r="C70" s="6" t="s">
        <v>533</v>
      </c>
      <c r="D70" s="6" t="s">
        <v>534</v>
      </c>
      <c r="E70" s="6" t="s">
        <v>2</v>
      </c>
    </row>
    <row r="71" spans="1:5" x14ac:dyDescent="0.25">
      <c r="A71" s="5" t="s">
        <v>80</v>
      </c>
      <c r="B71" s="6" t="s">
        <v>470</v>
      </c>
      <c r="C71" s="6" t="s">
        <v>40</v>
      </c>
      <c r="D71" s="6" t="s">
        <v>535</v>
      </c>
      <c r="E71" s="6" t="s">
        <v>2</v>
      </c>
    </row>
    <row r="72" spans="1:5" x14ac:dyDescent="0.25">
      <c r="A72" s="5" t="s">
        <v>80</v>
      </c>
      <c r="B72" s="6" t="s">
        <v>470</v>
      </c>
      <c r="C72" s="6" t="s">
        <v>536</v>
      </c>
      <c r="D72" s="6">
        <v>20.7</v>
      </c>
      <c r="E72" s="6" t="s">
        <v>479</v>
      </c>
    </row>
    <row r="73" spans="1:5" x14ac:dyDescent="0.25">
      <c r="A73" s="5" t="s">
        <v>80</v>
      </c>
      <c r="B73" s="6" t="s">
        <v>470</v>
      </c>
      <c r="C73" s="6" t="s">
        <v>537</v>
      </c>
      <c r="D73" s="6">
        <v>400</v>
      </c>
      <c r="E73" s="6" t="s">
        <v>482</v>
      </c>
    </row>
    <row r="74" spans="1:5" x14ac:dyDescent="0.25">
      <c r="A74" s="5" t="s">
        <v>80</v>
      </c>
      <c r="B74" s="6" t="s">
        <v>538</v>
      </c>
      <c r="C74" s="6" t="s">
        <v>539</v>
      </c>
      <c r="D74" s="6" t="s">
        <v>540</v>
      </c>
      <c r="E74" s="6" t="s">
        <v>2</v>
      </c>
    </row>
    <row r="75" spans="1:5" x14ac:dyDescent="0.25">
      <c r="A75" s="5" t="s">
        <v>80</v>
      </c>
      <c r="B75" s="6" t="s">
        <v>538</v>
      </c>
      <c r="C75" s="6" t="s">
        <v>541</v>
      </c>
      <c r="D75" s="6" t="s">
        <v>542</v>
      </c>
      <c r="E75" s="6" t="s">
        <v>543</v>
      </c>
    </row>
    <row r="76" spans="1:5" x14ac:dyDescent="0.25">
      <c r="A76" s="5" t="s">
        <v>80</v>
      </c>
      <c r="B76" s="6" t="s">
        <v>544</v>
      </c>
      <c r="C76" s="6" t="s">
        <v>545</v>
      </c>
      <c r="D76" s="6" t="s">
        <v>546</v>
      </c>
      <c r="E76" s="6" t="s">
        <v>2</v>
      </c>
    </row>
    <row r="77" spans="1:5" x14ac:dyDescent="0.25">
      <c r="A77" s="5" t="s">
        <v>80</v>
      </c>
      <c r="B77" s="6" t="s">
        <v>544</v>
      </c>
      <c r="C77" s="6" t="s">
        <v>547</v>
      </c>
      <c r="D77" s="6" t="s">
        <v>548</v>
      </c>
      <c r="E77" s="6" t="s">
        <v>2</v>
      </c>
    </row>
    <row r="78" spans="1:5" x14ac:dyDescent="0.25">
      <c r="A78" s="5" t="s">
        <v>84</v>
      </c>
      <c r="B78" s="6" t="s">
        <v>470</v>
      </c>
      <c r="C78" s="6" t="s">
        <v>471</v>
      </c>
      <c r="D78" s="6">
        <v>5000</v>
      </c>
      <c r="E78" s="6" t="s">
        <v>472</v>
      </c>
    </row>
    <row r="79" spans="1:5" x14ac:dyDescent="0.25">
      <c r="A79" s="5" t="s">
        <v>84</v>
      </c>
      <c r="B79" s="6" t="s">
        <v>470</v>
      </c>
      <c r="C79" s="6" t="s">
        <v>473</v>
      </c>
      <c r="D79" s="6" t="s">
        <v>474</v>
      </c>
      <c r="E79" s="6" t="s">
        <v>2</v>
      </c>
    </row>
    <row r="80" spans="1:5" x14ac:dyDescent="0.25">
      <c r="A80" s="5" t="s">
        <v>84</v>
      </c>
      <c r="B80" s="6" t="s">
        <v>470</v>
      </c>
      <c r="C80" s="6" t="s">
        <v>475</v>
      </c>
      <c r="D80" s="6">
        <v>24.5</v>
      </c>
      <c r="E80" s="6" t="s">
        <v>476</v>
      </c>
    </row>
    <row r="81" spans="1:5" x14ac:dyDescent="0.25">
      <c r="A81" s="5" t="s">
        <v>84</v>
      </c>
      <c r="B81" s="6" t="s">
        <v>470</v>
      </c>
      <c r="C81" s="6" t="s">
        <v>477</v>
      </c>
      <c r="D81" s="6" t="s">
        <v>549</v>
      </c>
      <c r="E81" s="6" t="s">
        <v>479</v>
      </c>
    </row>
    <row r="82" spans="1:5" x14ac:dyDescent="0.25">
      <c r="A82" s="5" t="s">
        <v>84</v>
      </c>
      <c r="B82" s="6" t="s">
        <v>480</v>
      </c>
      <c r="C82" s="6" t="s">
        <v>481</v>
      </c>
      <c r="D82" s="6">
        <v>750</v>
      </c>
      <c r="E82" s="6" t="s">
        <v>482</v>
      </c>
    </row>
    <row r="83" spans="1:5" x14ac:dyDescent="0.25">
      <c r="A83" s="5" t="s">
        <v>84</v>
      </c>
      <c r="B83" s="6" t="s">
        <v>480</v>
      </c>
      <c r="C83" s="6" t="s">
        <v>483</v>
      </c>
      <c r="D83" s="6" t="s">
        <v>550</v>
      </c>
      <c r="E83" s="6" t="s">
        <v>482</v>
      </c>
    </row>
    <row r="84" spans="1:5" x14ac:dyDescent="0.25">
      <c r="A84" s="5" t="s">
        <v>84</v>
      </c>
      <c r="B84" s="6" t="s">
        <v>480</v>
      </c>
      <c r="C84" s="6" t="s">
        <v>485</v>
      </c>
      <c r="D84" s="6" t="s">
        <v>551</v>
      </c>
      <c r="E84" s="6" t="s">
        <v>482</v>
      </c>
    </row>
    <row r="85" spans="1:5" x14ac:dyDescent="0.25">
      <c r="A85" s="5" t="s">
        <v>84</v>
      </c>
      <c r="B85" s="6" t="s">
        <v>480</v>
      </c>
      <c r="C85" s="6" t="s">
        <v>487</v>
      </c>
      <c r="D85" s="6" t="s">
        <v>552</v>
      </c>
      <c r="E85" s="6" t="s">
        <v>482</v>
      </c>
    </row>
    <row r="86" spans="1:5" x14ac:dyDescent="0.25">
      <c r="A86" s="5" t="s">
        <v>84</v>
      </c>
      <c r="B86" s="6" t="s">
        <v>489</v>
      </c>
      <c r="C86" s="6" t="s">
        <v>490</v>
      </c>
      <c r="D86" s="6">
        <v>70</v>
      </c>
      <c r="E86" s="6" t="s">
        <v>482</v>
      </c>
    </row>
    <row r="87" spans="1:5" x14ac:dyDescent="0.25">
      <c r="A87" s="5" t="s">
        <v>84</v>
      </c>
      <c r="B87" s="6" t="s">
        <v>489</v>
      </c>
      <c r="C87" s="6" t="s">
        <v>491</v>
      </c>
      <c r="D87" s="6">
        <v>1150</v>
      </c>
      <c r="E87" s="6" t="s">
        <v>492</v>
      </c>
    </row>
    <row r="88" spans="1:5" x14ac:dyDescent="0.25">
      <c r="A88" s="5" t="s">
        <v>84</v>
      </c>
      <c r="B88" s="6" t="s">
        <v>489</v>
      </c>
      <c r="C88" s="6" t="s">
        <v>493</v>
      </c>
      <c r="D88" s="6">
        <v>1850</v>
      </c>
      <c r="E88" s="6" t="s">
        <v>494</v>
      </c>
    </row>
    <row r="89" spans="1:5" x14ac:dyDescent="0.25">
      <c r="A89" s="5" t="s">
        <v>84</v>
      </c>
      <c r="B89" s="6" t="s">
        <v>489</v>
      </c>
      <c r="C89" s="6" t="s">
        <v>495</v>
      </c>
      <c r="D89" s="6">
        <v>280</v>
      </c>
      <c r="E89" s="6" t="s">
        <v>496</v>
      </c>
    </row>
    <row r="90" spans="1:5" x14ac:dyDescent="0.25">
      <c r="A90" s="5" t="s">
        <v>84</v>
      </c>
      <c r="B90" s="6" t="s">
        <v>489</v>
      </c>
      <c r="C90" s="6" t="s">
        <v>497</v>
      </c>
      <c r="D90" s="6">
        <v>6</v>
      </c>
      <c r="E90" s="6" t="s">
        <v>2</v>
      </c>
    </row>
    <row r="91" spans="1:5" x14ac:dyDescent="0.25">
      <c r="A91" s="5" t="s">
        <v>84</v>
      </c>
      <c r="B91" s="6" t="s">
        <v>498</v>
      </c>
      <c r="C91" s="6" t="s">
        <v>499</v>
      </c>
      <c r="D91" s="6">
        <v>145</v>
      </c>
      <c r="E91" s="6" t="s">
        <v>500</v>
      </c>
    </row>
    <row r="92" spans="1:5" x14ac:dyDescent="0.25">
      <c r="A92" s="5" t="s">
        <v>84</v>
      </c>
      <c r="B92" s="6" t="s">
        <v>498</v>
      </c>
      <c r="C92" s="6" t="s">
        <v>501</v>
      </c>
      <c r="D92" s="6">
        <v>32</v>
      </c>
      <c r="E92" s="6" t="s">
        <v>500</v>
      </c>
    </row>
    <row r="93" spans="1:5" x14ac:dyDescent="0.25">
      <c r="A93" s="5" t="s">
        <v>84</v>
      </c>
      <c r="B93" s="6" t="s">
        <v>502</v>
      </c>
      <c r="C93" s="6" t="s">
        <v>503</v>
      </c>
      <c r="D93" s="6" t="s">
        <v>553</v>
      </c>
      <c r="E93" s="6" t="s">
        <v>2</v>
      </c>
    </row>
    <row r="94" spans="1:5" x14ac:dyDescent="0.25">
      <c r="A94" s="5" t="s">
        <v>84</v>
      </c>
      <c r="B94" s="6" t="s">
        <v>502</v>
      </c>
      <c r="C94" s="6" t="s">
        <v>505</v>
      </c>
      <c r="D94" s="6" t="s">
        <v>554</v>
      </c>
      <c r="E94" s="6" t="s">
        <v>2</v>
      </c>
    </row>
    <row r="95" spans="1:5" x14ac:dyDescent="0.25">
      <c r="A95" s="5" t="s">
        <v>84</v>
      </c>
      <c r="B95" s="6" t="s">
        <v>502</v>
      </c>
      <c r="C95" s="6" t="s">
        <v>507</v>
      </c>
      <c r="D95" s="6">
        <v>2</v>
      </c>
      <c r="E95" s="6" t="s">
        <v>2</v>
      </c>
    </row>
    <row r="96" spans="1:5" x14ac:dyDescent="0.25">
      <c r="A96" s="5" t="s">
        <v>84</v>
      </c>
      <c r="B96" s="6" t="s">
        <v>502</v>
      </c>
      <c r="C96" s="6" t="s">
        <v>508</v>
      </c>
      <c r="D96" s="6">
        <v>285</v>
      </c>
      <c r="E96" s="6" t="s">
        <v>509</v>
      </c>
    </row>
    <row r="97" spans="1:5" x14ac:dyDescent="0.25">
      <c r="A97" s="5" t="s">
        <v>84</v>
      </c>
      <c r="B97" s="6" t="s">
        <v>502</v>
      </c>
      <c r="C97" s="6" t="s">
        <v>510</v>
      </c>
      <c r="D97" s="6">
        <v>90</v>
      </c>
      <c r="E97" s="6" t="s">
        <v>509</v>
      </c>
    </row>
    <row r="98" spans="1:5" x14ac:dyDescent="0.25">
      <c r="A98" s="5" t="s">
        <v>84</v>
      </c>
      <c r="B98" s="6" t="s">
        <v>511</v>
      </c>
      <c r="C98" s="6" t="s">
        <v>512</v>
      </c>
      <c r="D98" s="6" t="s">
        <v>513</v>
      </c>
      <c r="E98" s="6" t="s">
        <v>2</v>
      </c>
    </row>
    <row r="99" spans="1:5" x14ac:dyDescent="0.25">
      <c r="A99" s="5" t="s">
        <v>89</v>
      </c>
      <c r="B99" s="6" t="s">
        <v>470</v>
      </c>
      <c r="C99" s="6" t="s">
        <v>514</v>
      </c>
      <c r="D99" s="6" t="s">
        <v>515</v>
      </c>
      <c r="E99" s="6" t="s">
        <v>2</v>
      </c>
    </row>
    <row r="100" spans="1:5" x14ac:dyDescent="0.25">
      <c r="A100" s="5" t="s">
        <v>89</v>
      </c>
      <c r="B100" s="6" t="s">
        <v>470</v>
      </c>
      <c r="C100" s="6" t="s">
        <v>516</v>
      </c>
      <c r="D100" s="6">
        <v>15</v>
      </c>
      <c r="E100" s="6" t="s">
        <v>517</v>
      </c>
    </row>
    <row r="101" spans="1:5" x14ac:dyDescent="0.25">
      <c r="A101" s="5" t="s">
        <v>89</v>
      </c>
      <c r="B101" s="6" t="s">
        <v>518</v>
      </c>
      <c r="C101" s="6" t="s">
        <v>519</v>
      </c>
      <c r="D101" s="6">
        <v>2600</v>
      </c>
      <c r="E101" s="6" t="s">
        <v>482</v>
      </c>
    </row>
    <row r="102" spans="1:5" x14ac:dyDescent="0.25">
      <c r="A102" s="5" t="s">
        <v>89</v>
      </c>
      <c r="B102" s="6" t="s">
        <v>518</v>
      </c>
      <c r="C102" s="6" t="s">
        <v>520</v>
      </c>
      <c r="D102" s="6">
        <v>900</v>
      </c>
      <c r="E102" s="6" t="s">
        <v>482</v>
      </c>
    </row>
    <row r="103" spans="1:5" x14ac:dyDescent="0.25">
      <c r="A103" s="5" t="s">
        <v>89</v>
      </c>
      <c r="B103" s="6" t="s">
        <v>518</v>
      </c>
      <c r="C103" s="6" t="s">
        <v>521</v>
      </c>
      <c r="D103" s="6">
        <v>1400</v>
      </c>
      <c r="E103" s="6" t="s">
        <v>482</v>
      </c>
    </row>
    <row r="104" spans="1:5" x14ac:dyDescent="0.25">
      <c r="A104" s="5" t="s">
        <v>89</v>
      </c>
      <c r="B104" s="6" t="s">
        <v>522</v>
      </c>
      <c r="C104" s="6" t="s">
        <v>523</v>
      </c>
      <c r="D104" s="6">
        <v>4.5</v>
      </c>
      <c r="E104" s="6" t="s">
        <v>524</v>
      </c>
    </row>
    <row r="105" spans="1:5" x14ac:dyDescent="0.25">
      <c r="A105" s="5" t="s">
        <v>89</v>
      </c>
      <c r="B105" s="6" t="s">
        <v>522</v>
      </c>
      <c r="C105" s="6" t="s">
        <v>525</v>
      </c>
      <c r="D105" s="6">
        <v>0.9</v>
      </c>
      <c r="E105" s="6" t="s">
        <v>526</v>
      </c>
    </row>
    <row r="106" spans="1:5" x14ac:dyDescent="0.25">
      <c r="A106" s="5" t="s">
        <v>89</v>
      </c>
      <c r="B106" s="6" t="s">
        <v>527</v>
      </c>
      <c r="C106" s="6" t="s">
        <v>528</v>
      </c>
      <c r="D106" s="6" t="s">
        <v>529</v>
      </c>
      <c r="E106" s="6" t="s">
        <v>2</v>
      </c>
    </row>
    <row r="107" spans="1:5" x14ac:dyDescent="0.25">
      <c r="A107" s="5" t="s">
        <v>89</v>
      </c>
      <c r="B107" s="6" t="s">
        <v>498</v>
      </c>
      <c r="C107" s="6" t="s">
        <v>530</v>
      </c>
      <c r="D107" s="6" t="s">
        <v>531</v>
      </c>
      <c r="E107" s="6" t="s">
        <v>2</v>
      </c>
    </row>
    <row r="108" spans="1:5" x14ac:dyDescent="0.25">
      <c r="A108" s="5" t="s">
        <v>89</v>
      </c>
      <c r="B108" s="6" t="s">
        <v>532</v>
      </c>
      <c r="C108" s="6" t="s">
        <v>533</v>
      </c>
      <c r="D108" s="6" t="s">
        <v>534</v>
      </c>
      <c r="E108" s="6" t="s">
        <v>2</v>
      </c>
    </row>
    <row r="109" spans="1:5" x14ac:dyDescent="0.25">
      <c r="A109" s="5" t="s">
        <v>93</v>
      </c>
      <c r="B109" s="6" t="s">
        <v>470</v>
      </c>
      <c r="C109" s="6" t="s">
        <v>40</v>
      </c>
      <c r="D109" s="6" t="s">
        <v>535</v>
      </c>
      <c r="E109" s="6" t="s">
        <v>2</v>
      </c>
    </row>
    <row r="110" spans="1:5" x14ac:dyDescent="0.25">
      <c r="A110" s="5" t="s">
        <v>93</v>
      </c>
      <c r="B110" s="6" t="s">
        <v>470</v>
      </c>
      <c r="C110" s="6" t="s">
        <v>536</v>
      </c>
      <c r="D110" s="6">
        <v>20.7</v>
      </c>
      <c r="E110" s="6" t="s">
        <v>479</v>
      </c>
    </row>
    <row r="111" spans="1:5" x14ac:dyDescent="0.25">
      <c r="A111" s="5" t="s">
        <v>93</v>
      </c>
      <c r="B111" s="6" t="s">
        <v>470</v>
      </c>
      <c r="C111" s="6" t="s">
        <v>537</v>
      </c>
      <c r="D111" s="6">
        <v>400</v>
      </c>
      <c r="E111" s="6" t="s">
        <v>482</v>
      </c>
    </row>
    <row r="112" spans="1:5" x14ac:dyDescent="0.25">
      <c r="A112" s="5" t="s">
        <v>93</v>
      </c>
      <c r="B112" s="6" t="s">
        <v>538</v>
      </c>
      <c r="C112" s="6" t="s">
        <v>539</v>
      </c>
      <c r="D112" s="6" t="s">
        <v>540</v>
      </c>
      <c r="E112" s="6" t="s">
        <v>2</v>
      </c>
    </row>
    <row r="113" spans="1:5" x14ac:dyDescent="0.25">
      <c r="A113" s="5" t="s">
        <v>93</v>
      </c>
      <c r="B113" s="6" t="s">
        <v>538</v>
      </c>
      <c r="C113" s="6" t="s">
        <v>541</v>
      </c>
      <c r="D113" s="6" t="s">
        <v>542</v>
      </c>
      <c r="E113" s="6" t="s">
        <v>543</v>
      </c>
    </row>
    <row r="114" spans="1:5" x14ac:dyDescent="0.25">
      <c r="A114" s="5" t="s">
        <v>93</v>
      </c>
      <c r="B114" s="6" t="s">
        <v>544</v>
      </c>
      <c r="C114" s="6" t="s">
        <v>545</v>
      </c>
      <c r="D114" s="6" t="s">
        <v>546</v>
      </c>
      <c r="E114" s="6" t="s">
        <v>2</v>
      </c>
    </row>
    <row r="115" spans="1:5" x14ac:dyDescent="0.25">
      <c r="A115" s="5" t="s">
        <v>93</v>
      </c>
      <c r="B115" s="6" t="s">
        <v>544</v>
      </c>
      <c r="C115" s="6" t="s">
        <v>547</v>
      </c>
      <c r="D115" s="6" t="s">
        <v>548</v>
      </c>
      <c r="E115" s="6" t="s">
        <v>2</v>
      </c>
    </row>
    <row r="116" spans="1:5" x14ac:dyDescent="0.25">
      <c r="A116" s="5" t="s">
        <v>97</v>
      </c>
      <c r="B116" s="6" t="s">
        <v>470</v>
      </c>
      <c r="C116" s="6" t="s">
        <v>471</v>
      </c>
      <c r="D116" s="6">
        <v>5000</v>
      </c>
      <c r="E116" s="6" t="s">
        <v>472</v>
      </c>
    </row>
    <row r="117" spans="1:5" x14ac:dyDescent="0.25">
      <c r="A117" s="5" t="s">
        <v>97</v>
      </c>
      <c r="B117" s="6" t="s">
        <v>470</v>
      </c>
      <c r="C117" s="6" t="s">
        <v>473</v>
      </c>
      <c r="D117" s="6" t="s">
        <v>474</v>
      </c>
      <c r="E117" s="6" t="s">
        <v>2</v>
      </c>
    </row>
    <row r="118" spans="1:5" x14ac:dyDescent="0.25">
      <c r="A118" s="5" t="s">
        <v>97</v>
      </c>
      <c r="B118" s="6" t="s">
        <v>470</v>
      </c>
      <c r="C118" s="6" t="s">
        <v>475</v>
      </c>
      <c r="D118" s="6">
        <v>24.5</v>
      </c>
      <c r="E118" s="6" t="s">
        <v>476</v>
      </c>
    </row>
    <row r="119" spans="1:5" x14ac:dyDescent="0.25">
      <c r="A119" s="5" t="s">
        <v>97</v>
      </c>
      <c r="B119" s="6" t="s">
        <v>470</v>
      </c>
      <c r="C119" s="6" t="s">
        <v>477</v>
      </c>
      <c r="D119" s="6" t="s">
        <v>549</v>
      </c>
      <c r="E119" s="6" t="s">
        <v>479</v>
      </c>
    </row>
    <row r="120" spans="1:5" x14ac:dyDescent="0.25">
      <c r="A120" s="5" t="s">
        <v>97</v>
      </c>
      <c r="B120" s="6" t="s">
        <v>480</v>
      </c>
      <c r="C120" s="6" t="s">
        <v>481</v>
      </c>
      <c r="D120" s="6">
        <v>750</v>
      </c>
      <c r="E120" s="6" t="s">
        <v>482</v>
      </c>
    </row>
    <row r="121" spans="1:5" x14ac:dyDescent="0.25">
      <c r="A121" s="5" t="s">
        <v>97</v>
      </c>
      <c r="B121" s="6" t="s">
        <v>480</v>
      </c>
      <c r="C121" s="6" t="s">
        <v>483</v>
      </c>
      <c r="D121" s="6" t="s">
        <v>550</v>
      </c>
      <c r="E121" s="6" t="s">
        <v>482</v>
      </c>
    </row>
    <row r="122" spans="1:5" x14ac:dyDescent="0.25">
      <c r="A122" s="5" t="s">
        <v>97</v>
      </c>
      <c r="B122" s="6" t="s">
        <v>480</v>
      </c>
      <c r="C122" s="6" t="s">
        <v>485</v>
      </c>
      <c r="D122" s="6" t="s">
        <v>551</v>
      </c>
      <c r="E122" s="6" t="s">
        <v>482</v>
      </c>
    </row>
    <row r="123" spans="1:5" x14ac:dyDescent="0.25">
      <c r="A123" s="5" t="s">
        <v>97</v>
      </c>
      <c r="B123" s="6" t="s">
        <v>480</v>
      </c>
      <c r="C123" s="6" t="s">
        <v>487</v>
      </c>
      <c r="D123" s="6" t="s">
        <v>552</v>
      </c>
      <c r="E123" s="6" t="s">
        <v>482</v>
      </c>
    </row>
    <row r="124" spans="1:5" x14ac:dyDescent="0.25">
      <c r="A124" s="5" t="s">
        <v>97</v>
      </c>
      <c r="B124" s="6" t="s">
        <v>489</v>
      </c>
      <c r="C124" s="6" t="s">
        <v>490</v>
      </c>
      <c r="D124" s="6">
        <v>70</v>
      </c>
      <c r="E124" s="6" t="s">
        <v>482</v>
      </c>
    </row>
    <row r="125" spans="1:5" x14ac:dyDescent="0.25">
      <c r="A125" s="5" t="s">
        <v>97</v>
      </c>
      <c r="B125" s="6" t="s">
        <v>489</v>
      </c>
      <c r="C125" s="6" t="s">
        <v>491</v>
      </c>
      <c r="D125" s="6">
        <v>1150</v>
      </c>
      <c r="E125" s="6" t="s">
        <v>492</v>
      </c>
    </row>
    <row r="126" spans="1:5" x14ac:dyDescent="0.25">
      <c r="A126" s="5" t="s">
        <v>97</v>
      </c>
      <c r="B126" s="6" t="s">
        <v>489</v>
      </c>
      <c r="C126" s="6" t="s">
        <v>493</v>
      </c>
      <c r="D126" s="6">
        <v>1850</v>
      </c>
      <c r="E126" s="6" t="s">
        <v>494</v>
      </c>
    </row>
    <row r="127" spans="1:5" x14ac:dyDescent="0.25">
      <c r="A127" s="5" t="s">
        <v>97</v>
      </c>
      <c r="B127" s="6" t="s">
        <v>489</v>
      </c>
      <c r="C127" s="6" t="s">
        <v>495</v>
      </c>
      <c r="D127" s="6">
        <v>280</v>
      </c>
      <c r="E127" s="6" t="s">
        <v>496</v>
      </c>
    </row>
    <row r="128" spans="1:5" x14ac:dyDescent="0.25">
      <c r="A128" s="5" t="s">
        <v>97</v>
      </c>
      <c r="B128" s="6" t="s">
        <v>489</v>
      </c>
      <c r="C128" s="6" t="s">
        <v>497</v>
      </c>
      <c r="D128" s="6">
        <v>6</v>
      </c>
      <c r="E128" s="6" t="s">
        <v>2</v>
      </c>
    </row>
    <row r="129" spans="1:5" x14ac:dyDescent="0.25">
      <c r="A129" s="5" t="s">
        <v>97</v>
      </c>
      <c r="B129" s="6" t="s">
        <v>498</v>
      </c>
      <c r="C129" s="6" t="s">
        <v>499</v>
      </c>
      <c r="D129" s="6">
        <v>145</v>
      </c>
      <c r="E129" s="6" t="s">
        <v>500</v>
      </c>
    </row>
    <row r="130" spans="1:5" x14ac:dyDescent="0.25">
      <c r="A130" s="5" t="s">
        <v>97</v>
      </c>
      <c r="B130" s="6" t="s">
        <v>498</v>
      </c>
      <c r="C130" s="6" t="s">
        <v>501</v>
      </c>
      <c r="D130" s="6">
        <v>32</v>
      </c>
      <c r="E130" s="6" t="s">
        <v>500</v>
      </c>
    </row>
    <row r="131" spans="1:5" x14ac:dyDescent="0.25">
      <c r="A131" s="5" t="s">
        <v>97</v>
      </c>
      <c r="B131" s="6" t="s">
        <v>502</v>
      </c>
      <c r="C131" s="6" t="s">
        <v>503</v>
      </c>
      <c r="D131" s="6" t="s">
        <v>553</v>
      </c>
      <c r="E131" s="6" t="s">
        <v>2</v>
      </c>
    </row>
    <row r="132" spans="1:5" x14ac:dyDescent="0.25">
      <c r="A132" s="5" t="s">
        <v>97</v>
      </c>
      <c r="B132" s="6" t="s">
        <v>502</v>
      </c>
      <c r="C132" s="6" t="s">
        <v>505</v>
      </c>
      <c r="D132" s="6" t="s">
        <v>555</v>
      </c>
      <c r="E132" s="6" t="s">
        <v>2</v>
      </c>
    </row>
    <row r="133" spans="1:5" x14ac:dyDescent="0.25">
      <c r="A133" s="5" t="s">
        <v>97</v>
      </c>
      <c r="B133" s="6" t="s">
        <v>502</v>
      </c>
      <c r="C133" s="6" t="s">
        <v>507</v>
      </c>
      <c r="D133" s="6">
        <v>2</v>
      </c>
      <c r="E133" s="6" t="s">
        <v>2</v>
      </c>
    </row>
    <row r="134" spans="1:5" x14ac:dyDescent="0.25">
      <c r="A134" s="5" t="s">
        <v>97</v>
      </c>
      <c r="B134" s="6" t="s">
        <v>502</v>
      </c>
      <c r="C134" s="6" t="s">
        <v>508</v>
      </c>
      <c r="D134" s="6">
        <v>285</v>
      </c>
      <c r="E134" s="6" t="s">
        <v>509</v>
      </c>
    </row>
    <row r="135" spans="1:5" x14ac:dyDescent="0.25">
      <c r="A135" s="5" t="s">
        <v>97</v>
      </c>
      <c r="B135" s="6" t="s">
        <v>502</v>
      </c>
      <c r="C135" s="6" t="s">
        <v>510</v>
      </c>
      <c r="D135" s="6">
        <v>90</v>
      </c>
      <c r="E135" s="6" t="s">
        <v>509</v>
      </c>
    </row>
    <row r="136" spans="1:5" x14ac:dyDescent="0.25">
      <c r="A136" s="5" t="s">
        <v>97</v>
      </c>
      <c r="B136" s="6" t="s">
        <v>511</v>
      </c>
      <c r="C136" s="6" t="s">
        <v>512</v>
      </c>
      <c r="D136" s="6" t="s">
        <v>513</v>
      </c>
      <c r="E136" s="6" t="s">
        <v>2</v>
      </c>
    </row>
    <row r="137" spans="1:5" x14ac:dyDescent="0.25">
      <c r="A137" s="5" t="s">
        <v>101</v>
      </c>
      <c r="B137" s="6" t="s">
        <v>470</v>
      </c>
      <c r="C137" s="6" t="s">
        <v>514</v>
      </c>
      <c r="D137" s="6" t="s">
        <v>515</v>
      </c>
      <c r="E137" s="6" t="s">
        <v>2</v>
      </c>
    </row>
    <row r="138" spans="1:5" x14ac:dyDescent="0.25">
      <c r="A138" s="5" t="s">
        <v>101</v>
      </c>
      <c r="B138" s="6" t="s">
        <v>470</v>
      </c>
      <c r="C138" s="6" t="s">
        <v>516</v>
      </c>
      <c r="D138" s="6">
        <v>15</v>
      </c>
      <c r="E138" s="6" t="s">
        <v>517</v>
      </c>
    </row>
    <row r="139" spans="1:5" x14ac:dyDescent="0.25">
      <c r="A139" s="5" t="s">
        <v>101</v>
      </c>
      <c r="B139" s="6" t="s">
        <v>518</v>
      </c>
      <c r="C139" s="6" t="s">
        <v>519</v>
      </c>
      <c r="D139" s="6">
        <v>2600</v>
      </c>
      <c r="E139" s="6" t="s">
        <v>482</v>
      </c>
    </row>
    <row r="140" spans="1:5" x14ac:dyDescent="0.25">
      <c r="A140" s="5" t="s">
        <v>101</v>
      </c>
      <c r="B140" s="6" t="s">
        <v>518</v>
      </c>
      <c r="C140" s="6" t="s">
        <v>520</v>
      </c>
      <c r="D140" s="6">
        <v>900</v>
      </c>
      <c r="E140" s="6" t="s">
        <v>482</v>
      </c>
    </row>
    <row r="141" spans="1:5" x14ac:dyDescent="0.25">
      <c r="A141" s="5" t="s">
        <v>101</v>
      </c>
      <c r="B141" s="6" t="s">
        <v>518</v>
      </c>
      <c r="C141" s="6" t="s">
        <v>521</v>
      </c>
      <c r="D141" s="6">
        <v>1400</v>
      </c>
      <c r="E141" s="6" t="s">
        <v>482</v>
      </c>
    </row>
    <row r="142" spans="1:5" x14ac:dyDescent="0.25">
      <c r="A142" s="5" t="s">
        <v>101</v>
      </c>
      <c r="B142" s="6" t="s">
        <v>522</v>
      </c>
      <c r="C142" s="6" t="s">
        <v>523</v>
      </c>
      <c r="D142" s="6">
        <v>4.5</v>
      </c>
      <c r="E142" s="6" t="s">
        <v>524</v>
      </c>
    </row>
    <row r="143" spans="1:5" x14ac:dyDescent="0.25">
      <c r="A143" s="5" t="s">
        <v>101</v>
      </c>
      <c r="B143" s="6" t="s">
        <v>522</v>
      </c>
      <c r="C143" s="6" t="s">
        <v>525</v>
      </c>
      <c r="D143" s="6">
        <v>0.9</v>
      </c>
      <c r="E143" s="6" t="s">
        <v>526</v>
      </c>
    </row>
    <row r="144" spans="1:5" x14ac:dyDescent="0.25">
      <c r="A144" s="5" t="s">
        <v>101</v>
      </c>
      <c r="B144" s="6" t="s">
        <v>527</v>
      </c>
      <c r="C144" s="6" t="s">
        <v>528</v>
      </c>
      <c r="D144" s="6" t="s">
        <v>529</v>
      </c>
      <c r="E144" s="6" t="s">
        <v>2</v>
      </c>
    </row>
    <row r="145" spans="1:5" x14ac:dyDescent="0.25">
      <c r="A145" s="5" t="s">
        <v>101</v>
      </c>
      <c r="B145" s="6" t="s">
        <v>498</v>
      </c>
      <c r="C145" s="6" t="s">
        <v>530</v>
      </c>
      <c r="D145" s="6" t="s">
        <v>531</v>
      </c>
      <c r="E145" s="6" t="s">
        <v>2</v>
      </c>
    </row>
    <row r="146" spans="1:5" x14ac:dyDescent="0.25">
      <c r="A146" s="5" t="s">
        <v>101</v>
      </c>
      <c r="B146" s="6" t="s">
        <v>532</v>
      </c>
      <c r="C146" s="6" t="s">
        <v>533</v>
      </c>
      <c r="D146" s="6" t="s">
        <v>534</v>
      </c>
      <c r="E146" s="6" t="s">
        <v>2</v>
      </c>
    </row>
    <row r="147" spans="1:5" x14ac:dyDescent="0.25">
      <c r="A147" s="5" t="s">
        <v>105</v>
      </c>
      <c r="B147" s="6" t="s">
        <v>470</v>
      </c>
      <c r="C147" s="6" t="s">
        <v>40</v>
      </c>
      <c r="D147" s="6" t="s">
        <v>535</v>
      </c>
      <c r="E147" s="6" t="s">
        <v>2</v>
      </c>
    </row>
    <row r="148" spans="1:5" x14ac:dyDescent="0.25">
      <c r="A148" s="5" t="s">
        <v>105</v>
      </c>
      <c r="B148" s="6" t="s">
        <v>470</v>
      </c>
      <c r="C148" s="6" t="s">
        <v>536</v>
      </c>
      <c r="D148" s="6">
        <v>20.7</v>
      </c>
      <c r="E148" s="6" t="s">
        <v>479</v>
      </c>
    </row>
    <row r="149" spans="1:5" x14ac:dyDescent="0.25">
      <c r="A149" s="5" t="s">
        <v>105</v>
      </c>
      <c r="B149" s="6" t="s">
        <v>470</v>
      </c>
      <c r="C149" s="6" t="s">
        <v>537</v>
      </c>
      <c r="D149" s="6">
        <v>400</v>
      </c>
      <c r="E149" s="6" t="s">
        <v>482</v>
      </c>
    </row>
    <row r="150" spans="1:5" x14ac:dyDescent="0.25">
      <c r="A150" s="5" t="s">
        <v>105</v>
      </c>
      <c r="B150" s="6" t="s">
        <v>538</v>
      </c>
      <c r="C150" s="6" t="s">
        <v>539</v>
      </c>
      <c r="D150" s="6" t="s">
        <v>540</v>
      </c>
      <c r="E150" s="6" t="s">
        <v>2</v>
      </c>
    </row>
    <row r="151" spans="1:5" x14ac:dyDescent="0.25">
      <c r="A151" s="5" t="s">
        <v>105</v>
      </c>
      <c r="B151" s="6" t="s">
        <v>538</v>
      </c>
      <c r="C151" s="6" t="s">
        <v>541</v>
      </c>
      <c r="D151" s="6" t="s">
        <v>542</v>
      </c>
      <c r="E151" s="6" t="s">
        <v>543</v>
      </c>
    </row>
    <row r="152" spans="1:5" x14ac:dyDescent="0.25">
      <c r="A152" s="5" t="s">
        <v>105</v>
      </c>
      <c r="B152" s="6" t="s">
        <v>544</v>
      </c>
      <c r="C152" s="6" t="s">
        <v>545</v>
      </c>
      <c r="D152" s="6" t="s">
        <v>546</v>
      </c>
      <c r="E152" s="6" t="s">
        <v>2</v>
      </c>
    </row>
    <row r="153" spans="1:5" x14ac:dyDescent="0.25">
      <c r="A153" s="5" t="s">
        <v>105</v>
      </c>
      <c r="B153" s="6" t="s">
        <v>544</v>
      </c>
      <c r="C153" s="6" t="s">
        <v>547</v>
      </c>
      <c r="D153" s="6" t="s">
        <v>548</v>
      </c>
      <c r="E153" s="6" t="s">
        <v>2</v>
      </c>
    </row>
    <row r="154" spans="1:5" x14ac:dyDescent="0.25">
      <c r="A154" s="5" t="s">
        <v>109</v>
      </c>
      <c r="B154" s="6" t="s">
        <v>470</v>
      </c>
      <c r="C154" s="6" t="s">
        <v>556</v>
      </c>
      <c r="D154" s="6" t="s">
        <v>557</v>
      </c>
      <c r="E154" s="6" t="s">
        <v>2</v>
      </c>
    </row>
    <row r="155" spans="1:5" x14ac:dyDescent="0.25">
      <c r="A155" s="5" t="s">
        <v>109</v>
      </c>
      <c r="B155" s="6" t="s">
        <v>470</v>
      </c>
      <c r="C155" s="6" t="s">
        <v>558</v>
      </c>
      <c r="D155" s="6" t="s">
        <v>559</v>
      </c>
      <c r="E155" s="6" t="s">
        <v>2</v>
      </c>
    </row>
    <row r="156" spans="1:5" x14ac:dyDescent="0.25">
      <c r="A156" s="5" t="s">
        <v>109</v>
      </c>
      <c r="B156" s="6" t="s">
        <v>522</v>
      </c>
      <c r="C156" s="6" t="s">
        <v>560</v>
      </c>
      <c r="D156" s="6">
        <v>280</v>
      </c>
      <c r="E156" s="6" t="s">
        <v>561</v>
      </c>
    </row>
    <row r="157" spans="1:5" x14ac:dyDescent="0.25">
      <c r="A157" s="5" t="s">
        <v>109</v>
      </c>
      <c r="B157" s="6" t="s">
        <v>522</v>
      </c>
      <c r="C157" s="6" t="s">
        <v>562</v>
      </c>
      <c r="D157" s="6">
        <v>-40</v>
      </c>
      <c r="E157" s="6" t="s">
        <v>509</v>
      </c>
    </row>
    <row r="158" spans="1:5" x14ac:dyDescent="0.25">
      <c r="A158" s="5" t="s">
        <v>109</v>
      </c>
      <c r="B158" s="6" t="s">
        <v>522</v>
      </c>
      <c r="C158" s="6" t="s">
        <v>563</v>
      </c>
      <c r="D158" s="6" t="s">
        <v>564</v>
      </c>
      <c r="E158" s="6" t="s">
        <v>509</v>
      </c>
    </row>
    <row r="159" spans="1:5" x14ac:dyDescent="0.25">
      <c r="A159" s="5" t="s">
        <v>109</v>
      </c>
      <c r="B159" s="6" t="s">
        <v>565</v>
      </c>
      <c r="C159" s="6" t="s">
        <v>566</v>
      </c>
      <c r="D159" s="6">
        <v>8</v>
      </c>
      <c r="E159" s="6" t="s">
        <v>2</v>
      </c>
    </row>
    <row r="160" spans="1:5" x14ac:dyDescent="0.25">
      <c r="A160" s="5" t="s">
        <v>109</v>
      </c>
      <c r="B160" s="6" t="s">
        <v>565</v>
      </c>
      <c r="C160" s="6" t="s">
        <v>567</v>
      </c>
      <c r="D160" s="6">
        <v>50</v>
      </c>
      <c r="E160" s="6" t="s">
        <v>482</v>
      </c>
    </row>
    <row r="161" spans="1:5" x14ac:dyDescent="0.25">
      <c r="A161" s="5" t="s">
        <v>109</v>
      </c>
      <c r="B161" s="6" t="s">
        <v>498</v>
      </c>
      <c r="C161" s="6" t="s">
        <v>568</v>
      </c>
      <c r="D161" s="6">
        <v>38</v>
      </c>
      <c r="E161" s="6" t="s">
        <v>500</v>
      </c>
    </row>
    <row r="162" spans="1:5" x14ac:dyDescent="0.25">
      <c r="A162" s="5" t="s">
        <v>116</v>
      </c>
      <c r="B162" s="6" t="s">
        <v>470</v>
      </c>
      <c r="C162" s="6" t="s">
        <v>569</v>
      </c>
      <c r="D162" s="6" t="s">
        <v>570</v>
      </c>
      <c r="E162" s="6" t="s">
        <v>482</v>
      </c>
    </row>
    <row r="163" spans="1:5" x14ac:dyDescent="0.25">
      <c r="A163" s="5" t="s">
        <v>116</v>
      </c>
      <c r="B163" s="6" t="s">
        <v>470</v>
      </c>
      <c r="C163" s="6" t="s">
        <v>571</v>
      </c>
      <c r="D163" s="6" t="s">
        <v>572</v>
      </c>
      <c r="E163" s="6" t="s">
        <v>2</v>
      </c>
    </row>
    <row r="164" spans="1:5" x14ac:dyDescent="0.25">
      <c r="A164" s="5" t="s">
        <v>116</v>
      </c>
      <c r="B164" s="6" t="s">
        <v>470</v>
      </c>
      <c r="C164" s="6" t="s">
        <v>475</v>
      </c>
      <c r="D164" s="6">
        <v>11.2</v>
      </c>
      <c r="E164" s="6" t="s">
        <v>476</v>
      </c>
    </row>
    <row r="165" spans="1:5" x14ac:dyDescent="0.25">
      <c r="A165" s="5" t="s">
        <v>116</v>
      </c>
      <c r="B165" s="6" t="s">
        <v>573</v>
      </c>
      <c r="C165" s="6" t="s">
        <v>574</v>
      </c>
      <c r="D165" s="6">
        <v>169</v>
      </c>
      <c r="E165" s="6" t="s">
        <v>543</v>
      </c>
    </row>
    <row r="166" spans="1:5" x14ac:dyDescent="0.25">
      <c r="A166" s="5" t="s">
        <v>116</v>
      </c>
      <c r="B166" s="6" t="s">
        <v>573</v>
      </c>
      <c r="C166" s="6" t="s">
        <v>575</v>
      </c>
      <c r="D166" s="6">
        <v>2.8</v>
      </c>
      <c r="E166" s="6" t="s">
        <v>576</v>
      </c>
    </row>
    <row r="167" spans="1:5" x14ac:dyDescent="0.25">
      <c r="A167" s="5" t="s">
        <v>116</v>
      </c>
      <c r="B167" s="6" t="s">
        <v>573</v>
      </c>
      <c r="C167" s="6" t="s">
        <v>577</v>
      </c>
      <c r="D167" s="6" t="s">
        <v>578</v>
      </c>
      <c r="E167" s="6" t="s">
        <v>482</v>
      </c>
    </row>
    <row r="168" spans="1:5" x14ac:dyDescent="0.25">
      <c r="A168" s="5" t="s">
        <v>116</v>
      </c>
      <c r="B168" s="6" t="s">
        <v>579</v>
      </c>
      <c r="C168" s="6" t="s">
        <v>580</v>
      </c>
      <c r="D168" s="6">
        <v>25</v>
      </c>
      <c r="E168" s="6" t="s">
        <v>482</v>
      </c>
    </row>
    <row r="169" spans="1:5" x14ac:dyDescent="0.25">
      <c r="A169" s="5" t="s">
        <v>116</v>
      </c>
      <c r="B169" s="6" t="s">
        <v>579</v>
      </c>
      <c r="C169" s="6" t="s">
        <v>581</v>
      </c>
      <c r="D169" s="6">
        <v>20</v>
      </c>
      <c r="E169" s="6" t="s">
        <v>482</v>
      </c>
    </row>
    <row r="170" spans="1:5" x14ac:dyDescent="0.25">
      <c r="A170" s="5" t="s">
        <v>116</v>
      </c>
      <c r="B170" s="6" t="s">
        <v>579</v>
      </c>
      <c r="C170" s="6" t="s">
        <v>582</v>
      </c>
      <c r="D170" s="6">
        <v>15</v>
      </c>
      <c r="E170" s="6" t="s">
        <v>482</v>
      </c>
    </row>
    <row r="171" spans="1:5" x14ac:dyDescent="0.25">
      <c r="A171" s="5" t="s">
        <v>116</v>
      </c>
      <c r="B171" s="6" t="s">
        <v>583</v>
      </c>
      <c r="C171" s="6" t="s">
        <v>584</v>
      </c>
      <c r="D171" s="6" t="s">
        <v>585</v>
      </c>
      <c r="E171" s="6" t="s">
        <v>2</v>
      </c>
    </row>
    <row r="172" spans="1:5" x14ac:dyDescent="0.25">
      <c r="A172" s="5" t="s">
        <v>116</v>
      </c>
      <c r="B172" s="6" t="s">
        <v>583</v>
      </c>
      <c r="C172" s="6" t="s">
        <v>586</v>
      </c>
      <c r="D172" s="6" t="s">
        <v>587</v>
      </c>
      <c r="E172" s="6" t="s">
        <v>2</v>
      </c>
    </row>
    <row r="173" spans="1:5" x14ac:dyDescent="0.25">
      <c r="A173" s="5" t="s">
        <v>116</v>
      </c>
      <c r="B173" s="6" t="s">
        <v>498</v>
      </c>
      <c r="C173" s="6" t="s">
        <v>499</v>
      </c>
      <c r="D173" s="6">
        <v>38</v>
      </c>
      <c r="E173" s="6" t="s">
        <v>588</v>
      </c>
    </row>
    <row r="174" spans="1:5" x14ac:dyDescent="0.25">
      <c r="A174" s="5" t="s">
        <v>116</v>
      </c>
      <c r="B174" s="6" t="s">
        <v>502</v>
      </c>
      <c r="C174" s="6" t="s">
        <v>589</v>
      </c>
      <c r="D174" s="6" t="s">
        <v>590</v>
      </c>
      <c r="E174" s="6" t="s">
        <v>2</v>
      </c>
    </row>
    <row r="175" spans="1:5" x14ac:dyDescent="0.25">
      <c r="A175" s="5" t="s">
        <v>125</v>
      </c>
      <c r="B175" s="6" t="s">
        <v>470</v>
      </c>
      <c r="C175" s="6" t="s">
        <v>591</v>
      </c>
      <c r="D175" s="6">
        <v>12</v>
      </c>
      <c r="E175" s="6" t="s">
        <v>2</v>
      </c>
    </row>
    <row r="176" spans="1:5" x14ac:dyDescent="0.25">
      <c r="A176" s="5" t="s">
        <v>125</v>
      </c>
      <c r="B176" s="6" t="s">
        <v>470</v>
      </c>
      <c r="C176" s="6" t="s">
        <v>592</v>
      </c>
      <c r="D176" s="6">
        <v>3000</v>
      </c>
      <c r="E176" s="6" t="s">
        <v>517</v>
      </c>
    </row>
    <row r="177" spans="1:5" x14ac:dyDescent="0.25">
      <c r="A177" s="5" t="s">
        <v>125</v>
      </c>
      <c r="B177" s="6" t="s">
        <v>470</v>
      </c>
      <c r="C177" s="6" t="s">
        <v>593</v>
      </c>
      <c r="D177" s="6">
        <v>5.2</v>
      </c>
      <c r="E177" s="6" t="s">
        <v>479</v>
      </c>
    </row>
    <row r="178" spans="1:5" x14ac:dyDescent="0.25">
      <c r="A178" s="5" t="s">
        <v>125</v>
      </c>
      <c r="B178" s="6" t="s">
        <v>594</v>
      </c>
      <c r="C178" s="6" t="s">
        <v>595</v>
      </c>
      <c r="D178" s="6" t="s">
        <v>596</v>
      </c>
      <c r="E178" s="6" t="s">
        <v>2</v>
      </c>
    </row>
    <row r="179" spans="1:5" x14ac:dyDescent="0.25">
      <c r="A179" s="5" t="s">
        <v>125</v>
      </c>
      <c r="B179" s="6" t="s">
        <v>594</v>
      </c>
      <c r="C179" s="6" t="s">
        <v>597</v>
      </c>
      <c r="D179" s="6">
        <v>65</v>
      </c>
      <c r="E179" s="6" t="s">
        <v>526</v>
      </c>
    </row>
    <row r="180" spans="1:5" x14ac:dyDescent="0.25">
      <c r="A180" s="5" t="s">
        <v>125</v>
      </c>
      <c r="B180" s="6" t="s">
        <v>598</v>
      </c>
      <c r="C180" s="6" t="s">
        <v>599</v>
      </c>
      <c r="D180" s="6" t="s">
        <v>600</v>
      </c>
      <c r="E180" s="6" t="s">
        <v>2</v>
      </c>
    </row>
    <row r="181" spans="1:5" x14ac:dyDescent="0.25">
      <c r="A181" s="5" t="s">
        <v>131</v>
      </c>
      <c r="B181" s="6" t="s">
        <v>470</v>
      </c>
      <c r="C181" s="6" t="s">
        <v>569</v>
      </c>
      <c r="D181" s="6" t="s">
        <v>570</v>
      </c>
      <c r="E181" s="6" t="s">
        <v>482</v>
      </c>
    </row>
    <row r="182" spans="1:5" x14ac:dyDescent="0.25">
      <c r="A182" s="5" t="s">
        <v>131</v>
      </c>
      <c r="B182" s="6" t="s">
        <v>470</v>
      </c>
      <c r="C182" s="6" t="s">
        <v>571</v>
      </c>
      <c r="D182" s="6" t="s">
        <v>601</v>
      </c>
      <c r="E182" s="6" t="s">
        <v>2</v>
      </c>
    </row>
    <row r="183" spans="1:5" x14ac:dyDescent="0.25">
      <c r="A183" s="5" t="s">
        <v>131</v>
      </c>
      <c r="B183" s="6" t="s">
        <v>470</v>
      </c>
      <c r="C183" s="6" t="s">
        <v>475</v>
      </c>
      <c r="D183" s="6">
        <v>11.2</v>
      </c>
      <c r="E183" s="6" t="s">
        <v>476</v>
      </c>
    </row>
    <row r="184" spans="1:5" x14ac:dyDescent="0.25">
      <c r="A184" s="5" t="s">
        <v>131</v>
      </c>
      <c r="B184" s="6" t="s">
        <v>573</v>
      </c>
      <c r="C184" s="6" t="s">
        <v>574</v>
      </c>
      <c r="D184" s="6">
        <v>169</v>
      </c>
      <c r="E184" s="6" t="s">
        <v>543</v>
      </c>
    </row>
    <row r="185" spans="1:5" x14ac:dyDescent="0.25">
      <c r="A185" s="5" t="s">
        <v>131</v>
      </c>
      <c r="B185" s="6" t="s">
        <v>573</v>
      </c>
      <c r="C185" s="6" t="s">
        <v>575</v>
      </c>
      <c r="D185" s="6">
        <v>2.8</v>
      </c>
      <c r="E185" s="6" t="s">
        <v>576</v>
      </c>
    </row>
    <row r="186" spans="1:5" x14ac:dyDescent="0.25">
      <c r="A186" s="5" t="s">
        <v>131</v>
      </c>
      <c r="B186" s="6" t="s">
        <v>573</v>
      </c>
      <c r="C186" s="6" t="s">
        <v>577</v>
      </c>
      <c r="D186" s="6" t="s">
        <v>578</v>
      </c>
      <c r="E186" s="6" t="s">
        <v>482</v>
      </c>
    </row>
    <row r="187" spans="1:5" x14ac:dyDescent="0.25">
      <c r="A187" s="5" t="s">
        <v>131</v>
      </c>
      <c r="B187" s="6" t="s">
        <v>579</v>
      </c>
      <c r="C187" s="6" t="s">
        <v>580</v>
      </c>
      <c r="D187" s="6">
        <v>30</v>
      </c>
      <c r="E187" s="6" t="s">
        <v>482</v>
      </c>
    </row>
    <row r="188" spans="1:5" x14ac:dyDescent="0.25">
      <c r="A188" s="5" t="s">
        <v>131</v>
      </c>
      <c r="B188" s="6" t="s">
        <v>579</v>
      </c>
      <c r="C188" s="6" t="s">
        <v>581</v>
      </c>
      <c r="D188" s="6">
        <v>40</v>
      </c>
      <c r="E188" s="6" t="s">
        <v>482</v>
      </c>
    </row>
    <row r="189" spans="1:5" x14ac:dyDescent="0.25">
      <c r="A189" s="5" t="s">
        <v>131</v>
      </c>
      <c r="B189" s="6" t="s">
        <v>579</v>
      </c>
      <c r="C189" s="6" t="s">
        <v>582</v>
      </c>
      <c r="D189" s="6">
        <v>30</v>
      </c>
      <c r="E189" s="6" t="s">
        <v>482</v>
      </c>
    </row>
    <row r="190" spans="1:5" x14ac:dyDescent="0.25">
      <c r="A190" s="5" t="s">
        <v>131</v>
      </c>
      <c r="B190" s="6" t="s">
        <v>583</v>
      </c>
      <c r="C190" s="6" t="s">
        <v>584</v>
      </c>
      <c r="D190" s="6" t="s">
        <v>585</v>
      </c>
      <c r="E190" s="6" t="s">
        <v>2</v>
      </c>
    </row>
    <row r="191" spans="1:5" x14ac:dyDescent="0.25">
      <c r="A191" s="5" t="s">
        <v>131</v>
      </c>
      <c r="B191" s="6" t="s">
        <v>583</v>
      </c>
      <c r="C191" s="6" t="s">
        <v>586</v>
      </c>
      <c r="D191" s="6" t="s">
        <v>587</v>
      </c>
      <c r="E191" s="6" t="s">
        <v>2</v>
      </c>
    </row>
    <row r="192" spans="1:5" x14ac:dyDescent="0.25">
      <c r="A192" s="5" t="s">
        <v>131</v>
      </c>
      <c r="B192" s="6" t="s">
        <v>498</v>
      </c>
      <c r="C192" s="6" t="s">
        <v>499</v>
      </c>
      <c r="D192" s="6">
        <v>62</v>
      </c>
      <c r="E192" s="6" t="s">
        <v>588</v>
      </c>
    </row>
    <row r="193" spans="1:5" x14ac:dyDescent="0.25">
      <c r="A193" s="5" t="s">
        <v>131</v>
      </c>
      <c r="B193" s="6" t="s">
        <v>502</v>
      </c>
      <c r="C193" s="6" t="s">
        <v>589</v>
      </c>
      <c r="D193" s="6" t="s">
        <v>590</v>
      </c>
      <c r="E193" s="6" t="s">
        <v>2</v>
      </c>
    </row>
    <row r="194" spans="1:5" x14ac:dyDescent="0.25">
      <c r="A194" s="5" t="s">
        <v>136</v>
      </c>
      <c r="B194" s="6" t="s">
        <v>470</v>
      </c>
      <c r="C194" s="6" t="s">
        <v>591</v>
      </c>
      <c r="D194" s="6">
        <v>12</v>
      </c>
      <c r="E194" s="6" t="s">
        <v>2</v>
      </c>
    </row>
    <row r="195" spans="1:5" x14ac:dyDescent="0.25">
      <c r="A195" s="5" t="s">
        <v>136</v>
      </c>
      <c r="B195" s="6" t="s">
        <v>470</v>
      </c>
      <c r="C195" s="6" t="s">
        <v>592</v>
      </c>
      <c r="D195" s="6">
        <v>3000</v>
      </c>
      <c r="E195" s="6" t="s">
        <v>517</v>
      </c>
    </row>
    <row r="196" spans="1:5" x14ac:dyDescent="0.25">
      <c r="A196" s="5" t="s">
        <v>136</v>
      </c>
      <c r="B196" s="6" t="s">
        <v>470</v>
      </c>
      <c r="C196" s="6" t="s">
        <v>593</v>
      </c>
      <c r="D196" s="6">
        <v>5.2</v>
      </c>
      <c r="E196" s="6" t="s">
        <v>479</v>
      </c>
    </row>
    <row r="197" spans="1:5" x14ac:dyDescent="0.25">
      <c r="A197" s="5" t="s">
        <v>136</v>
      </c>
      <c r="B197" s="6" t="s">
        <v>594</v>
      </c>
      <c r="C197" s="6" t="s">
        <v>595</v>
      </c>
      <c r="D197" s="6" t="s">
        <v>596</v>
      </c>
      <c r="E197" s="6" t="s">
        <v>2</v>
      </c>
    </row>
    <row r="198" spans="1:5" x14ac:dyDescent="0.25">
      <c r="A198" s="5" t="s">
        <v>136</v>
      </c>
      <c r="B198" s="6" t="s">
        <v>594</v>
      </c>
      <c r="C198" s="6" t="s">
        <v>597</v>
      </c>
      <c r="D198" s="6">
        <v>65</v>
      </c>
      <c r="E198" s="6" t="s">
        <v>526</v>
      </c>
    </row>
    <row r="199" spans="1:5" x14ac:dyDescent="0.25">
      <c r="A199" s="5" t="s">
        <v>136</v>
      </c>
      <c r="B199" s="6" t="s">
        <v>598</v>
      </c>
      <c r="C199" s="6" t="s">
        <v>599</v>
      </c>
      <c r="D199" s="6" t="s">
        <v>600</v>
      </c>
      <c r="E199" s="6" t="s">
        <v>2</v>
      </c>
    </row>
    <row r="200" spans="1:5" x14ac:dyDescent="0.25">
      <c r="A200" s="5" t="s">
        <v>140</v>
      </c>
      <c r="B200" s="6" t="s">
        <v>470</v>
      </c>
      <c r="C200" s="6" t="s">
        <v>602</v>
      </c>
      <c r="D200" s="6">
        <v>2200</v>
      </c>
      <c r="E200" s="6" t="s">
        <v>472</v>
      </c>
    </row>
    <row r="201" spans="1:5" x14ac:dyDescent="0.25">
      <c r="A201" s="5" t="s">
        <v>140</v>
      </c>
      <c r="B201" s="6" t="s">
        <v>470</v>
      </c>
      <c r="C201" s="6" t="s">
        <v>603</v>
      </c>
      <c r="D201" s="6">
        <v>3100</v>
      </c>
      <c r="E201" s="6" t="s">
        <v>482</v>
      </c>
    </row>
    <row r="202" spans="1:5" x14ac:dyDescent="0.25">
      <c r="A202" s="5" t="s">
        <v>140</v>
      </c>
      <c r="B202" s="6" t="s">
        <v>470</v>
      </c>
      <c r="C202" s="6" t="s">
        <v>604</v>
      </c>
      <c r="D202" s="6">
        <v>2700</v>
      </c>
      <c r="E202" s="6" t="s">
        <v>482</v>
      </c>
    </row>
    <row r="203" spans="1:5" x14ac:dyDescent="0.25">
      <c r="A203" s="5" t="s">
        <v>140</v>
      </c>
      <c r="B203" s="6" t="s">
        <v>573</v>
      </c>
      <c r="C203" s="6" t="s">
        <v>605</v>
      </c>
      <c r="D203" s="6" t="s">
        <v>606</v>
      </c>
      <c r="E203" s="6" t="s">
        <v>2</v>
      </c>
    </row>
    <row r="204" spans="1:5" x14ac:dyDescent="0.25">
      <c r="A204" s="5" t="s">
        <v>140</v>
      </c>
      <c r="B204" s="6" t="s">
        <v>573</v>
      </c>
      <c r="C204" s="6" t="s">
        <v>607</v>
      </c>
      <c r="D204" s="6">
        <v>200</v>
      </c>
      <c r="E204" s="6" t="s">
        <v>496</v>
      </c>
    </row>
    <row r="205" spans="1:5" x14ac:dyDescent="0.25">
      <c r="A205" s="5" t="s">
        <v>140</v>
      </c>
      <c r="B205" s="6" t="s">
        <v>573</v>
      </c>
      <c r="C205" s="6" t="s">
        <v>608</v>
      </c>
      <c r="D205" s="6">
        <v>12</v>
      </c>
      <c r="E205" s="6" t="s">
        <v>496</v>
      </c>
    </row>
    <row r="206" spans="1:5" x14ac:dyDescent="0.25">
      <c r="A206" s="5" t="s">
        <v>140</v>
      </c>
      <c r="B206" s="6" t="s">
        <v>573</v>
      </c>
      <c r="C206" s="6" t="s">
        <v>609</v>
      </c>
      <c r="D206" s="6" t="s">
        <v>610</v>
      </c>
      <c r="E206" s="6" t="s">
        <v>482</v>
      </c>
    </row>
    <row r="207" spans="1:5" x14ac:dyDescent="0.25">
      <c r="A207" s="5" t="s">
        <v>140</v>
      </c>
      <c r="B207" s="6" t="s">
        <v>527</v>
      </c>
      <c r="C207" s="6" t="s">
        <v>611</v>
      </c>
      <c r="D207" s="6" t="s">
        <v>612</v>
      </c>
      <c r="E207" s="6" t="s">
        <v>2</v>
      </c>
    </row>
    <row r="208" spans="1:5" x14ac:dyDescent="0.25">
      <c r="A208" s="5" t="s">
        <v>140</v>
      </c>
      <c r="B208" s="6" t="s">
        <v>527</v>
      </c>
      <c r="C208" s="6" t="s">
        <v>613</v>
      </c>
      <c r="D208" s="6" t="s">
        <v>614</v>
      </c>
      <c r="E208" s="6" t="s">
        <v>2</v>
      </c>
    </row>
    <row r="209" spans="1:5" x14ac:dyDescent="0.25">
      <c r="A209" s="5" t="s">
        <v>140</v>
      </c>
      <c r="B209" s="6" t="s">
        <v>498</v>
      </c>
      <c r="C209" s="6" t="s">
        <v>538</v>
      </c>
      <c r="D209" s="6" t="s">
        <v>615</v>
      </c>
      <c r="E209" s="6" t="s">
        <v>2</v>
      </c>
    </row>
    <row r="210" spans="1:5" x14ac:dyDescent="0.25">
      <c r="A210" s="5" t="s">
        <v>148</v>
      </c>
      <c r="B210" s="6" t="s">
        <v>470</v>
      </c>
      <c r="C210" s="6" t="s">
        <v>514</v>
      </c>
      <c r="D210" s="6" t="s">
        <v>616</v>
      </c>
      <c r="E210" s="6" t="s">
        <v>2</v>
      </c>
    </row>
    <row r="211" spans="1:5" x14ac:dyDescent="0.25">
      <c r="A211" s="5" t="s">
        <v>148</v>
      </c>
      <c r="B211" s="6" t="s">
        <v>470</v>
      </c>
      <c r="C211" s="6" t="s">
        <v>516</v>
      </c>
      <c r="D211" s="6">
        <v>165</v>
      </c>
      <c r="E211" s="6" t="s">
        <v>517</v>
      </c>
    </row>
    <row r="212" spans="1:5" x14ac:dyDescent="0.25">
      <c r="A212" s="5" t="s">
        <v>148</v>
      </c>
      <c r="B212" s="6" t="s">
        <v>470</v>
      </c>
      <c r="C212" s="6" t="s">
        <v>617</v>
      </c>
      <c r="D212" s="6">
        <v>2700</v>
      </c>
      <c r="E212" s="6" t="s">
        <v>482</v>
      </c>
    </row>
    <row r="213" spans="1:5" x14ac:dyDescent="0.25">
      <c r="A213" s="5" t="s">
        <v>148</v>
      </c>
      <c r="B213" s="6" t="s">
        <v>470</v>
      </c>
      <c r="C213" s="6" t="s">
        <v>609</v>
      </c>
      <c r="D213" s="6" t="s">
        <v>618</v>
      </c>
      <c r="E213" s="6" t="s">
        <v>482</v>
      </c>
    </row>
    <row r="214" spans="1:5" x14ac:dyDescent="0.25">
      <c r="A214" s="5" t="s">
        <v>148</v>
      </c>
      <c r="B214" s="6" t="s">
        <v>470</v>
      </c>
      <c r="C214" s="6" t="s">
        <v>619</v>
      </c>
      <c r="D214" s="6">
        <v>1143</v>
      </c>
      <c r="E214" s="6" t="s">
        <v>517</v>
      </c>
    </row>
    <row r="215" spans="1:5" x14ac:dyDescent="0.25">
      <c r="A215" s="5" t="s">
        <v>148</v>
      </c>
      <c r="B215" s="6" t="s">
        <v>620</v>
      </c>
      <c r="C215" s="6" t="s">
        <v>621</v>
      </c>
      <c r="D215" s="6" t="s">
        <v>622</v>
      </c>
      <c r="E215" s="6" t="s">
        <v>623</v>
      </c>
    </row>
    <row r="216" spans="1:5" x14ac:dyDescent="0.25">
      <c r="A216" s="5" t="s">
        <v>148</v>
      </c>
      <c r="B216" s="6" t="s">
        <v>620</v>
      </c>
      <c r="C216" s="6" t="s">
        <v>624</v>
      </c>
      <c r="D216" s="6" t="s">
        <v>625</v>
      </c>
      <c r="E216" s="6" t="s">
        <v>623</v>
      </c>
    </row>
    <row r="217" spans="1:5" x14ac:dyDescent="0.25">
      <c r="A217" s="5" t="s">
        <v>148</v>
      </c>
      <c r="B217" s="6" t="s">
        <v>512</v>
      </c>
      <c r="C217" s="6" t="s">
        <v>512</v>
      </c>
      <c r="D217" s="6" t="s">
        <v>626</v>
      </c>
      <c r="E217" s="6" t="s">
        <v>2</v>
      </c>
    </row>
    <row r="218" spans="1:5" x14ac:dyDescent="0.25">
      <c r="A218" s="5" t="s">
        <v>148</v>
      </c>
      <c r="B218" s="6" t="s">
        <v>527</v>
      </c>
      <c r="C218" s="6" t="s">
        <v>627</v>
      </c>
      <c r="D218" s="6" t="s">
        <v>628</v>
      </c>
      <c r="E218" s="6" t="s">
        <v>2</v>
      </c>
    </row>
    <row r="219" spans="1:5" x14ac:dyDescent="0.25">
      <c r="A219" s="5" t="s">
        <v>148</v>
      </c>
      <c r="B219" s="6" t="s">
        <v>498</v>
      </c>
      <c r="C219" s="6" t="s">
        <v>629</v>
      </c>
      <c r="D219" s="6">
        <v>4.8</v>
      </c>
      <c r="E219" s="6" t="s">
        <v>500</v>
      </c>
    </row>
    <row r="220" spans="1:5" x14ac:dyDescent="0.25">
      <c r="A220" s="5" t="s">
        <v>154</v>
      </c>
      <c r="B220" s="6" t="s">
        <v>470</v>
      </c>
      <c r="C220" s="6" t="s">
        <v>602</v>
      </c>
      <c r="D220" s="6">
        <v>2200</v>
      </c>
      <c r="E220" s="6" t="s">
        <v>472</v>
      </c>
    </row>
    <row r="221" spans="1:5" x14ac:dyDescent="0.25">
      <c r="A221" s="5" t="s">
        <v>154</v>
      </c>
      <c r="B221" s="6" t="s">
        <v>470</v>
      </c>
      <c r="C221" s="6" t="s">
        <v>603</v>
      </c>
      <c r="D221" s="6">
        <v>3100</v>
      </c>
      <c r="E221" s="6" t="s">
        <v>482</v>
      </c>
    </row>
    <row r="222" spans="1:5" x14ac:dyDescent="0.25">
      <c r="A222" s="5" t="s">
        <v>154</v>
      </c>
      <c r="B222" s="6" t="s">
        <v>470</v>
      </c>
      <c r="C222" s="6" t="s">
        <v>604</v>
      </c>
      <c r="D222" s="6">
        <v>2700</v>
      </c>
      <c r="E222" s="6" t="s">
        <v>482</v>
      </c>
    </row>
    <row r="223" spans="1:5" x14ac:dyDescent="0.25">
      <c r="A223" s="5" t="s">
        <v>154</v>
      </c>
      <c r="B223" s="6" t="s">
        <v>573</v>
      </c>
      <c r="C223" s="6" t="s">
        <v>605</v>
      </c>
      <c r="D223" s="6" t="s">
        <v>606</v>
      </c>
      <c r="E223" s="6" t="s">
        <v>2</v>
      </c>
    </row>
    <row r="224" spans="1:5" x14ac:dyDescent="0.25">
      <c r="A224" s="5" t="s">
        <v>154</v>
      </c>
      <c r="B224" s="6" t="s">
        <v>573</v>
      </c>
      <c r="C224" s="6" t="s">
        <v>607</v>
      </c>
      <c r="D224" s="6">
        <v>200</v>
      </c>
      <c r="E224" s="6" t="s">
        <v>496</v>
      </c>
    </row>
    <row r="225" spans="1:5" x14ac:dyDescent="0.25">
      <c r="A225" s="5" t="s">
        <v>154</v>
      </c>
      <c r="B225" s="6" t="s">
        <v>573</v>
      </c>
      <c r="C225" s="6" t="s">
        <v>608</v>
      </c>
      <c r="D225" s="6">
        <v>12</v>
      </c>
      <c r="E225" s="6" t="s">
        <v>496</v>
      </c>
    </row>
    <row r="226" spans="1:5" x14ac:dyDescent="0.25">
      <c r="A226" s="5" t="s">
        <v>154</v>
      </c>
      <c r="B226" s="6" t="s">
        <v>573</v>
      </c>
      <c r="C226" s="6" t="s">
        <v>609</v>
      </c>
      <c r="D226" s="6" t="s">
        <v>610</v>
      </c>
      <c r="E226" s="6" t="s">
        <v>482</v>
      </c>
    </row>
    <row r="227" spans="1:5" x14ac:dyDescent="0.25">
      <c r="A227" s="5" t="s">
        <v>154</v>
      </c>
      <c r="B227" s="6" t="s">
        <v>527</v>
      </c>
      <c r="C227" s="6" t="s">
        <v>611</v>
      </c>
      <c r="D227" s="6" t="s">
        <v>612</v>
      </c>
      <c r="E227" s="6" t="s">
        <v>2</v>
      </c>
    </row>
    <row r="228" spans="1:5" x14ac:dyDescent="0.25">
      <c r="A228" s="5" t="s">
        <v>154</v>
      </c>
      <c r="B228" s="6" t="s">
        <v>527</v>
      </c>
      <c r="C228" s="6" t="s">
        <v>613</v>
      </c>
      <c r="D228" s="6" t="s">
        <v>614</v>
      </c>
      <c r="E228" s="6" t="s">
        <v>2</v>
      </c>
    </row>
    <row r="229" spans="1:5" x14ac:dyDescent="0.25">
      <c r="A229" s="5" t="s">
        <v>154</v>
      </c>
      <c r="B229" s="6" t="s">
        <v>498</v>
      </c>
      <c r="C229" s="6" t="s">
        <v>538</v>
      </c>
      <c r="D229" s="6" t="s">
        <v>615</v>
      </c>
      <c r="E229" s="6" t="s">
        <v>2</v>
      </c>
    </row>
    <row r="230" spans="1:5" x14ac:dyDescent="0.25">
      <c r="A230" s="5" t="s">
        <v>158</v>
      </c>
      <c r="B230" s="6" t="s">
        <v>470</v>
      </c>
      <c r="C230" s="6" t="s">
        <v>514</v>
      </c>
      <c r="D230" s="6" t="s">
        <v>616</v>
      </c>
      <c r="E230" s="6" t="s">
        <v>2</v>
      </c>
    </row>
    <row r="231" spans="1:5" x14ac:dyDescent="0.25">
      <c r="A231" s="5" t="s">
        <v>158</v>
      </c>
      <c r="B231" s="6" t="s">
        <v>470</v>
      </c>
      <c r="C231" s="6" t="s">
        <v>516</v>
      </c>
      <c r="D231" s="6">
        <v>165</v>
      </c>
      <c r="E231" s="6" t="s">
        <v>517</v>
      </c>
    </row>
    <row r="232" spans="1:5" x14ac:dyDescent="0.25">
      <c r="A232" s="5" t="s">
        <v>158</v>
      </c>
      <c r="B232" s="6" t="s">
        <v>470</v>
      </c>
      <c r="C232" s="6" t="s">
        <v>617</v>
      </c>
      <c r="D232" s="6">
        <v>2700</v>
      </c>
      <c r="E232" s="6" t="s">
        <v>482</v>
      </c>
    </row>
    <row r="233" spans="1:5" x14ac:dyDescent="0.25">
      <c r="A233" s="5" t="s">
        <v>158</v>
      </c>
      <c r="B233" s="6" t="s">
        <v>470</v>
      </c>
      <c r="C233" s="6" t="s">
        <v>609</v>
      </c>
      <c r="D233" s="6" t="s">
        <v>618</v>
      </c>
      <c r="E233" s="6" t="s">
        <v>482</v>
      </c>
    </row>
    <row r="234" spans="1:5" x14ac:dyDescent="0.25">
      <c r="A234" s="5" t="s">
        <v>158</v>
      </c>
      <c r="B234" s="6" t="s">
        <v>470</v>
      </c>
      <c r="C234" s="6" t="s">
        <v>619</v>
      </c>
      <c r="D234" s="6">
        <v>1143</v>
      </c>
      <c r="E234" s="6" t="s">
        <v>517</v>
      </c>
    </row>
    <row r="235" spans="1:5" x14ac:dyDescent="0.25">
      <c r="A235" s="5" t="s">
        <v>158</v>
      </c>
      <c r="B235" s="6" t="s">
        <v>620</v>
      </c>
      <c r="C235" s="6" t="s">
        <v>621</v>
      </c>
      <c r="D235" s="6" t="s">
        <v>622</v>
      </c>
      <c r="E235" s="6" t="s">
        <v>623</v>
      </c>
    </row>
    <row r="236" spans="1:5" x14ac:dyDescent="0.25">
      <c r="A236" s="5" t="s">
        <v>158</v>
      </c>
      <c r="B236" s="6" t="s">
        <v>620</v>
      </c>
      <c r="C236" s="6" t="s">
        <v>624</v>
      </c>
      <c r="D236" s="6" t="s">
        <v>625</v>
      </c>
      <c r="E236" s="6" t="s">
        <v>623</v>
      </c>
    </row>
    <row r="237" spans="1:5" x14ac:dyDescent="0.25">
      <c r="A237" s="5" t="s">
        <v>158</v>
      </c>
      <c r="B237" s="6" t="s">
        <v>512</v>
      </c>
      <c r="C237" s="6" t="s">
        <v>512</v>
      </c>
      <c r="D237" s="6" t="s">
        <v>626</v>
      </c>
      <c r="E237" s="6" t="s">
        <v>2</v>
      </c>
    </row>
    <row r="238" spans="1:5" x14ac:dyDescent="0.25">
      <c r="A238" s="5" t="s">
        <v>158</v>
      </c>
      <c r="B238" s="6" t="s">
        <v>527</v>
      </c>
      <c r="C238" s="6" t="s">
        <v>627</v>
      </c>
      <c r="D238" s="6" t="s">
        <v>628</v>
      </c>
      <c r="E238" s="6" t="s">
        <v>2</v>
      </c>
    </row>
    <row r="239" spans="1:5" x14ac:dyDescent="0.25">
      <c r="A239" s="5" t="s">
        <v>158</v>
      </c>
      <c r="B239" s="6" t="s">
        <v>498</v>
      </c>
      <c r="C239" s="6" t="s">
        <v>629</v>
      </c>
      <c r="D239" s="6">
        <v>4.8</v>
      </c>
      <c r="E239" s="6" t="s">
        <v>500</v>
      </c>
    </row>
    <row r="240" spans="1:5" x14ac:dyDescent="0.25">
      <c r="A240" s="5" t="s">
        <v>162</v>
      </c>
      <c r="B240" s="6" t="s">
        <v>470</v>
      </c>
      <c r="C240" s="6" t="s">
        <v>630</v>
      </c>
      <c r="D240" s="6">
        <v>4000</v>
      </c>
      <c r="E240" s="6" t="s">
        <v>472</v>
      </c>
    </row>
    <row r="241" spans="1:5" x14ac:dyDescent="0.25">
      <c r="A241" s="5" t="s">
        <v>162</v>
      </c>
      <c r="B241" s="6" t="s">
        <v>470</v>
      </c>
      <c r="C241" s="6" t="s">
        <v>631</v>
      </c>
      <c r="D241" s="6" t="s">
        <v>632</v>
      </c>
      <c r="E241" s="6" t="s">
        <v>2</v>
      </c>
    </row>
    <row r="242" spans="1:5" x14ac:dyDescent="0.25">
      <c r="A242" s="5" t="s">
        <v>162</v>
      </c>
      <c r="B242" s="6" t="s">
        <v>470</v>
      </c>
      <c r="C242" s="6" t="s">
        <v>633</v>
      </c>
      <c r="D242" s="6" t="s">
        <v>634</v>
      </c>
      <c r="E242" s="6" t="s">
        <v>482</v>
      </c>
    </row>
    <row r="243" spans="1:5" x14ac:dyDescent="0.25">
      <c r="A243" s="5" t="s">
        <v>162</v>
      </c>
      <c r="B243" s="6" t="s">
        <v>470</v>
      </c>
      <c r="C243" s="6" t="s">
        <v>635</v>
      </c>
      <c r="D243" s="6">
        <v>1400</v>
      </c>
      <c r="E243" s="6" t="s">
        <v>482</v>
      </c>
    </row>
    <row r="244" spans="1:5" x14ac:dyDescent="0.25">
      <c r="A244" s="5" t="s">
        <v>162</v>
      </c>
      <c r="B244" s="6" t="s">
        <v>470</v>
      </c>
      <c r="C244" s="6" t="s">
        <v>636</v>
      </c>
      <c r="D244" s="6">
        <v>800</v>
      </c>
      <c r="E244" s="6" t="s">
        <v>482</v>
      </c>
    </row>
    <row r="245" spans="1:5" x14ac:dyDescent="0.25">
      <c r="A245" s="5" t="s">
        <v>162</v>
      </c>
      <c r="B245" s="6" t="s">
        <v>637</v>
      </c>
      <c r="C245" s="6" t="s">
        <v>638</v>
      </c>
      <c r="D245" s="6">
        <v>300</v>
      </c>
      <c r="E245" s="6" t="s">
        <v>496</v>
      </c>
    </row>
    <row r="246" spans="1:5" x14ac:dyDescent="0.25">
      <c r="A246" s="5" t="s">
        <v>162</v>
      </c>
      <c r="B246" s="6" t="s">
        <v>637</v>
      </c>
      <c r="C246" s="6" t="s">
        <v>639</v>
      </c>
      <c r="D246" s="6">
        <v>25</v>
      </c>
      <c r="E246" s="6" t="s">
        <v>496</v>
      </c>
    </row>
    <row r="247" spans="1:5" x14ac:dyDescent="0.25">
      <c r="A247" s="5" t="s">
        <v>162</v>
      </c>
      <c r="B247" s="6" t="s">
        <v>637</v>
      </c>
      <c r="C247" s="6" t="s">
        <v>640</v>
      </c>
      <c r="D247" s="6">
        <v>280</v>
      </c>
      <c r="E247" s="6" t="s">
        <v>496</v>
      </c>
    </row>
    <row r="248" spans="1:5" x14ac:dyDescent="0.25">
      <c r="A248" s="5" t="s">
        <v>162</v>
      </c>
      <c r="B248" s="6" t="s">
        <v>641</v>
      </c>
      <c r="C248" s="6" t="s">
        <v>642</v>
      </c>
      <c r="D248" s="6">
        <v>55</v>
      </c>
      <c r="E248" s="6" t="s">
        <v>500</v>
      </c>
    </row>
    <row r="249" spans="1:5" x14ac:dyDescent="0.25">
      <c r="A249" s="5" t="s">
        <v>162</v>
      </c>
      <c r="B249" s="6" t="s">
        <v>641</v>
      </c>
      <c r="C249" s="6" t="s">
        <v>643</v>
      </c>
      <c r="D249" s="6">
        <v>280</v>
      </c>
      <c r="E249" s="6" t="s">
        <v>494</v>
      </c>
    </row>
    <row r="250" spans="1:5" x14ac:dyDescent="0.25">
      <c r="A250" s="5" t="s">
        <v>162</v>
      </c>
      <c r="B250" s="6" t="s">
        <v>644</v>
      </c>
      <c r="C250" s="6" t="s">
        <v>645</v>
      </c>
      <c r="D250" s="6" t="s">
        <v>646</v>
      </c>
      <c r="E250" s="6" t="s">
        <v>2</v>
      </c>
    </row>
    <row r="251" spans="1:5" x14ac:dyDescent="0.25">
      <c r="A251" s="5" t="s">
        <v>162</v>
      </c>
      <c r="B251" s="6" t="s">
        <v>502</v>
      </c>
      <c r="C251" s="6" t="s">
        <v>647</v>
      </c>
      <c r="D251" s="6" t="s">
        <v>648</v>
      </c>
      <c r="E251" s="6" t="s">
        <v>2</v>
      </c>
    </row>
    <row r="252" spans="1:5" x14ac:dyDescent="0.25">
      <c r="A252" s="5" t="s">
        <v>170</v>
      </c>
      <c r="B252" s="6" t="s">
        <v>470</v>
      </c>
      <c r="C252" s="6" t="s">
        <v>514</v>
      </c>
      <c r="D252" s="6" t="s">
        <v>616</v>
      </c>
      <c r="E252" s="6" t="s">
        <v>2</v>
      </c>
    </row>
    <row r="253" spans="1:5" x14ac:dyDescent="0.25">
      <c r="A253" s="5" t="s">
        <v>170</v>
      </c>
      <c r="B253" s="6" t="s">
        <v>470</v>
      </c>
      <c r="C253" s="6" t="s">
        <v>516</v>
      </c>
      <c r="D253" s="6">
        <v>70</v>
      </c>
      <c r="E253" s="6" t="s">
        <v>517</v>
      </c>
    </row>
    <row r="254" spans="1:5" x14ac:dyDescent="0.25">
      <c r="A254" s="5" t="s">
        <v>170</v>
      </c>
      <c r="B254" s="6" t="s">
        <v>470</v>
      </c>
      <c r="C254" s="6" t="s">
        <v>617</v>
      </c>
      <c r="D254" s="6">
        <v>2100</v>
      </c>
      <c r="E254" s="6" t="s">
        <v>482</v>
      </c>
    </row>
    <row r="255" spans="1:5" x14ac:dyDescent="0.25">
      <c r="A255" s="5" t="s">
        <v>170</v>
      </c>
      <c r="B255" s="6" t="s">
        <v>470</v>
      </c>
      <c r="C255" s="6" t="s">
        <v>609</v>
      </c>
      <c r="D255" s="6" t="s">
        <v>649</v>
      </c>
      <c r="E255" s="6" t="s">
        <v>482</v>
      </c>
    </row>
    <row r="256" spans="1:5" x14ac:dyDescent="0.25">
      <c r="A256" s="5" t="s">
        <v>170</v>
      </c>
      <c r="B256" s="6" t="s">
        <v>470</v>
      </c>
      <c r="C256" s="6" t="s">
        <v>619</v>
      </c>
      <c r="D256" s="6">
        <v>554</v>
      </c>
      <c r="E256" s="6" t="s">
        <v>517</v>
      </c>
    </row>
    <row r="257" spans="1:5" x14ac:dyDescent="0.25">
      <c r="A257" s="5" t="s">
        <v>170</v>
      </c>
      <c r="B257" s="6" t="s">
        <v>620</v>
      </c>
      <c r="C257" s="6" t="s">
        <v>621</v>
      </c>
      <c r="D257" s="6" t="s">
        <v>650</v>
      </c>
      <c r="E257" s="6" t="s">
        <v>623</v>
      </c>
    </row>
    <row r="258" spans="1:5" x14ac:dyDescent="0.25">
      <c r="A258" s="5" t="s">
        <v>170</v>
      </c>
      <c r="B258" s="6" t="s">
        <v>620</v>
      </c>
      <c r="C258" s="6" t="s">
        <v>624</v>
      </c>
      <c r="D258" s="6" t="s">
        <v>651</v>
      </c>
      <c r="E258" s="6" t="s">
        <v>623</v>
      </c>
    </row>
    <row r="259" spans="1:5" x14ac:dyDescent="0.25">
      <c r="A259" s="5" t="s">
        <v>170</v>
      </c>
      <c r="B259" s="6" t="s">
        <v>512</v>
      </c>
      <c r="C259" s="6" t="s">
        <v>512</v>
      </c>
      <c r="D259" s="6" t="s">
        <v>626</v>
      </c>
      <c r="E259" s="6" t="s">
        <v>2</v>
      </c>
    </row>
    <row r="260" spans="1:5" x14ac:dyDescent="0.25">
      <c r="A260" s="5" t="s">
        <v>170</v>
      </c>
      <c r="B260" s="6" t="s">
        <v>527</v>
      </c>
      <c r="C260" s="6" t="s">
        <v>627</v>
      </c>
      <c r="D260" s="6" t="s">
        <v>652</v>
      </c>
      <c r="E260" s="6" t="s">
        <v>2</v>
      </c>
    </row>
    <row r="261" spans="1:5" x14ac:dyDescent="0.25">
      <c r="A261" s="5" t="s">
        <v>170</v>
      </c>
      <c r="B261" s="6" t="s">
        <v>498</v>
      </c>
      <c r="C261" s="6" t="s">
        <v>629</v>
      </c>
      <c r="D261" s="6">
        <v>1.5</v>
      </c>
      <c r="E261" s="6" t="s">
        <v>500</v>
      </c>
    </row>
    <row r="262" spans="1:5" x14ac:dyDescent="0.25">
      <c r="A262" s="5" t="s">
        <v>175</v>
      </c>
      <c r="B262" s="6" t="s">
        <v>470</v>
      </c>
      <c r="C262" s="6" t="s">
        <v>630</v>
      </c>
      <c r="D262" s="6">
        <v>2500</v>
      </c>
      <c r="E262" s="6" t="s">
        <v>472</v>
      </c>
    </row>
    <row r="263" spans="1:5" x14ac:dyDescent="0.25">
      <c r="A263" s="5" t="s">
        <v>175</v>
      </c>
      <c r="B263" s="6" t="s">
        <v>470</v>
      </c>
      <c r="C263" s="6" t="s">
        <v>538</v>
      </c>
      <c r="D263" s="6" t="s">
        <v>653</v>
      </c>
      <c r="E263" s="6" t="s">
        <v>2</v>
      </c>
    </row>
    <row r="264" spans="1:5" x14ac:dyDescent="0.25">
      <c r="A264" s="5" t="s">
        <v>175</v>
      </c>
      <c r="B264" s="6" t="s">
        <v>470</v>
      </c>
      <c r="C264" s="6" t="s">
        <v>654</v>
      </c>
      <c r="D264" s="6" t="s">
        <v>655</v>
      </c>
      <c r="E264" s="6" t="s">
        <v>656</v>
      </c>
    </row>
    <row r="265" spans="1:5" x14ac:dyDescent="0.25">
      <c r="A265" s="5" t="s">
        <v>175</v>
      </c>
      <c r="B265" s="6" t="s">
        <v>470</v>
      </c>
      <c r="C265" s="6" t="s">
        <v>633</v>
      </c>
      <c r="D265" s="6" t="s">
        <v>657</v>
      </c>
      <c r="E265" s="6" t="s">
        <v>482</v>
      </c>
    </row>
    <row r="266" spans="1:5" x14ac:dyDescent="0.25">
      <c r="A266" s="5" t="s">
        <v>175</v>
      </c>
      <c r="B266" s="6" t="s">
        <v>658</v>
      </c>
      <c r="C266" s="6" t="s">
        <v>659</v>
      </c>
      <c r="D266" s="6">
        <v>5</v>
      </c>
      <c r="E266" s="6" t="s">
        <v>476</v>
      </c>
    </row>
    <row r="267" spans="1:5" x14ac:dyDescent="0.25">
      <c r="A267" s="5" t="s">
        <v>175</v>
      </c>
      <c r="B267" s="6" t="s">
        <v>658</v>
      </c>
      <c r="C267" s="6" t="s">
        <v>660</v>
      </c>
      <c r="D267" s="6">
        <v>600</v>
      </c>
      <c r="E267" s="6" t="s">
        <v>482</v>
      </c>
    </row>
    <row r="268" spans="1:5" x14ac:dyDescent="0.25">
      <c r="A268" s="5" t="s">
        <v>175</v>
      </c>
      <c r="B268" s="6" t="s">
        <v>658</v>
      </c>
      <c r="C268" s="6" t="s">
        <v>661</v>
      </c>
      <c r="D268" s="6" t="s">
        <v>662</v>
      </c>
      <c r="E268" s="6" t="s">
        <v>2</v>
      </c>
    </row>
    <row r="269" spans="1:5" x14ac:dyDescent="0.25">
      <c r="A269" s="5" t="s">
        <v>175</v>
      </c>
      <c r="B269" s="6" t="s">
        <v>658</v>
      </c>
      <c r="C269" s="6" t="s">
        <v>663</v>
      </c>
      <c r="D269" s="6" t="s">
        <v>618</v>
      </c>
      <c r="E269" s="6" t="s">
        <v>482</v>
      </c>
    </row>
    <row r="270" spans="1:5" x14ac:dyDescent="0.25">
      <c r="A270" s="5" t="s">
        <v>175</v>
      </c>
      <c r="B270" s="6" t="s">
        <v>527</v>
      </c>
      <c r="C270" s="6" t="s">
        <v>664</v>
      </c>
      <c r="D270" s="6" t="s">
        <v>665</v>
      </c>
      <c r="E270" s="6" t="s">
        <v>2</v>
      </c>
    </row>
    <row r="271" spans="1:5" x14ac:dyDescent="0.25">
      <c r="A271" s="5" t="s">
        <v>175</v>
      </c>
      <c r="B271" s="6" t="s">
        <v>498</v>
      </c>
      <c r="C271" s="6" t="s">
        <v>499</v>
      </c>
      <c r="D271" s="6">
        <v>160</v>
      </c>
      <c r="E271" s="6" t="s">
        <v>588</v>
      </c>
    </row>
    <row r="272" spans="1:5" x14ac:dyDescent="0.25">
      <c r="A272" s="5" t="s">
        <v>182</v>
      </c>
      <c r="B272" s="6" t="s">
        <v>470</v>
      </c>
      <c r="C272" s="6" t="s">
        <v>40</v>
      </c>
      <c r="D272" s="6" t="s">
        <v>666</v>
      </c>
      <c r="E272" s="6" t="s">
        <v>2</v>
      </c>
    </row>
    <row r="273" spans="1:5" x14ac:dyDescent="0.25">
      <c r="A273" s="5" t="s">
        <v>182</v>
      </c>
      <c r="B273" s="6" t="s">
        <v>470</v>
      </c>
      <c r="C273" s="6" t="s">
        <v>536</v>
      </c>
      <c r="D273" s="6">
        <v>10.7</v>
      </c>
      <c r="E273" s="6" t="s">
        <v>479</v>
      </c>
    </row>
    <row r="274" spans="1:5" x14ac:dyDescent="0.25">
      <c r="A274" s="5" t="s">
        <v>182</v>
      </c>
      <c r="B274" s="6" t="s">
        <v>470</v>
      </c>
      <c r="C274" s="6" t="s">
        <v>667</v>
      </c>
      <c r="D274" s="6">
        <v>100</v>
      </c>
      <c r="E274" s="6" t="s">
        <v>482</v>
      </c>
    </row>
    <row r="275" spans="1:5" x14ac:dyDescent="0.25">
      <c r="A275" s="5" t="s">
        <v>182</v>
      </c>
      <c r="B275" s="6" t="s">
        <v>538</v>
      </c>
      <c r="C275" s="6" t="s">
        <v>668</v>
      </c>
      <c r="D275" s="6">
        <v>11</v>
      </c>
      <c r="E275" s="6" t="s">
        <v>2</v>
      </c>
    </row>
    <row r="276" spans="1:5" x14ac:dyDescent="0.25">
      <c r="A276" s="5" t="s">
        <v>182</v>
      </c>
      <c r="B276" s="6" t="s">
        <v>538</v>
      </c>
      <c r="C276" s="6" t="s">
        <v>669</v>
      </c>
      <c r="D276" s="6">
        <v>18</v>
      </c>
      <c r="E276" s="6" t="s">
        <v>543</v>
      </c>
    </row>
    <row r="277" spans="1:5" x14ac:dyDescent="0.25">
      <c r="A277" s="5" t="s">
        <v>182</v>
      </c>
      <c r="B277" s="6" t="s">
        <v>511</v>
      </c>
      <c r="C277" s="6" t="s">
        <v>670</v>
      </c>
      <c r="D277" s="6" t="s">
        <v>671</v>
      </c>
      <c r="E277" s="6" t="s">
        <v>2</v>
      </c>
    </row>
    <row r="278" spans="1:5" x14ac:dyDescent="0.25">
      <c r="A278" s="5" t="s">
        <v>187</v>
      </c>
      <c r="B278" s="6" t="s">
        <v>470</v>
      </c>
      <c r="C278" s="6" t="s">
        <v>579</v>
      </c>
      <c r="D278" s="6">
        <v>10</v>
      </c>
      <c r="E278" s="6" t="s">
        <v>476</v>
      </c>
    </row>
    <row r="279" spans="1:5" x14ac:dyDescent="0.25">
      <c r="A279" s="5" t="s">
        <v>187</v>
      </c>
      <c r="B279" s="6" t="s">
        <v>470</v>
      </c>
      <c r="C279" s="6" t="s">
        <v>672</v>
      </c>
      <c r="D279" s="6">
        <v>28.8</v>
      </c>
      <c r="E279" s="6" t="s">
        <v>479</v>
      </c>
    </row>
    <row r="280" spans="1:5" x14ac:dyDescent="0.25">
      <c r="A280" s="5" t="s">
        <v>187</v>
      </c>
      <c r="B280" s="6" t="s">
        <v>470</v>
      </c>
      <c r="C280" s="6" t="s">
        <v>673</v>
      </c>
      <c r="D280" s="6">
        <v>8.2</v>
      </c>
      <c r="E280" s="6" t="s">
        <v>479</v>
      </c>
    </row>
    <row r="281" spans="1:5" x14ac:dyDescent="0.25">
      <c r="A281" s="5" t="s">
        <v>187</v>
      </c>
      <c r="B281" s="6" t="s">
        <v>637</v>
      </c>
      <c r="C281" s="6" t="s">
        <v>674</v>
      </c>
      <c r="D281" s="6" t="s">
        <v>675</v>
      </c>
      <c r="E281" s="6" t="s">
        <v>543</v>
      </c>
    </row>
    <row r="282" spans="1:5" x14ac:dyDescent="0.25">
      <c r="A282" s="5" t="s">
        <v>187</v>
      </c>
      <c r="B282" s="6" t="s">
        <v>637</v>
      </c>
      <c r="C282" s="6" t="s">
        <v>676</v>
      </c>
      <c r="D282" s="6" t="s">
        <v>677</v>
      </c>
      <c r="E282" s="6" t="s">
        <v>543</v>
      </c>
    </row>
    <row r="283" spans="1:5" x14ac:dyDescent="0.25">
      <c r="A283" s="5" t="s">
        <v>187</v>
      </c>
      <c r="B283" s="6" t="s">
        <v>637</v>
      </c>
      <c r="C283" s="6" t="s">
        <v>678</v>
      </c>
      <c r="D283" s="6" t="s">
        <v>679</v>
      </c>
      <c r="E283" s="6" t="s">
        <v>543</v>
      </c>
    </row>
    <row r="284" spans="1:5" x14ac:dyDescent="0.25">
      <c r="A284" s="5" t="s">
        <v>187</v>
      </c>
      <c r="B284" s="6" t="s">
        <v>511</v>
      </c>
      <c r="C284" s="6" t="s">
        <v>647</v>
      </c>
      <c r="D284" s="6" t="s">
        <v>680</v>
      </c>
      <c r="E284" s="6" t="s">
        <v>2</v>
      </c>
    </row>
    <row r="285" spans="1:5" x14ac:dyDescent="0.25">
      <c r="A285" s="5" t="s">
        <v>195</v>
      </c>
      <c r="B285" s="6" t="s">
        <v>470</v>
      </c>
      <c r="C285" s="6" t="s">
        <v>681</v>
      </c>
      <c r="D285" s="6">
        <v>3</v>
      </c>
      <c r="E285" s="6" t="s">
        <v>2</v>
      </c>
    </row>
    <row r="286" spans="1:5" x14ac:dyDescent="0.25">
      <c r="A286" s="5" t="s">
        <v>195</v>
      </c>
      <c r="B286" s="6" t="s">
        <v>470</v>
      </c>
      <c r="C286" s="6" t="s">
        <v>682</v>
      </c>
      <c r="D286" s="6">
        <v>1188</v>
      </c>
      <c r="E286" s="6" t="s">
        <v>2</v>
      </c>
    </row>
    <row r="287" spans="1:5" x14ac:dyDescent="0.25">
      <c r="A287" s="5" t="s">
        <v>195</v>
      </c>
      <c r="B287" s="6" t="s">
        <v>470</v>
      </c>
      <c r="C287" s="6" t="s">
        <v>683</v>
      </c>
      <c r="D287" s="6">
        <v>10.8</v>
      </c>
      <c r="E287" s="6" t="s">
        <v>479</v>
      </c>
    </row>
    <row r="288" spans="1:5" x14ac:dyDescent="0.25">
      <c r="A288" s="5" t="s">
        <v>195</v>
      </c>
      <c r="B288" s="6" t="s">
        <v>470</v>
      </c>
      <c r="C288" s="6" t="s">
        <v>684</v>
      </c>
      <c r="D288" s="6">
        <v>30</v>
      </c>
      <c r="E288" s="6" t="s">
        <v>479</v>
      </c>
    </row>
    <row r="289" spans="1:5" x14ac:dyDescent="0.25">
      <c r="A289" s="5" t="s">
        <v>195</v>
      </c>
      <c r="B289" s="6" t="s">
        <v>685</v>
      </c>
      <c r="C289" s="6" t="s">
        <v>686</v>
      </c>
      <c r="D289" s="6" t="s">
        <v>687</v>
      </c>
      <c r="E289" s="6" t="s">
        <v>2</v>
      </c>
    </row>
    <row r="290" spans="1:5" x14ac:dyDescent="0.25">
      <c r="A290" s="5" t="s">
        <v>195</v>
      </c>
      <c r="B290" s="6" t="s">
        <v>685</v>
      </c>
      <c r="C290" s="6" t="s">
        <v>688</v>
      </c>
      <c r="D290" s="6">
        <v>250</v>
      </c>
      <c r="E290" s="6" t="s">
        <v>517</v>
      </c>
    </row>
    <row r="291" spans="1:5" x14ac:dyDescent="0.25">
      <c r="A291" s="5" t="s">
        <v>195</v>
      </c>
      <c r="B291" s="6" t="s">
        <v>689</v>
      </c>
      <c r="C291" s="6" t="s">
        <v>631</v>
      </c>
      <c r="D291" s="6" t="s">
        <v>690</v>
      </c>
      <c r="E291" s="6" t="s">
        <v>2</v>
      </c>
    </row>
    <row r="292" spans="1:5" x14ac:dyDescent="0.25">
      <c r="A292" s="5" t="s">
        <v>195</v>
      </c>
      <c r="B292" s="6" t="s">
        <v>689</v>
      </c>
      <c r="C292" s="6" t="s">
        <v>691</v>
      </c>
      <c r="D292" s="6" t="s">
        <v>692</v>
      </c>
      <c r="E292" s="6" t="s">
        <v>2</v>
      </c>
    </row>
    <row r="293" spans="1:5" x14ac:dyDescent="0.25">
      <c r="A293" s="5" t="s">
        <v>204</v>
      </c>
      <c r="B293" s="6" t="s">
        <v>470</v>
      </c>
      <c r="C293" s="6" t="s">
        <v>693</v>
      </c>
      <c r="D293" s="6" t="s">
        <v>694</v>
      </c>
      <c r="E293" s="6" t="s">
        <v>2</v>
      </c>
    </row>
    <row r="294" spans="1:5" x14ac:dyDescent="0.25">
      <c r="A294" s="5" t="s">
        <v>204</v>
      </c>
      <c r="B294" s="6" t="s">
        <v>470</v>
      </c>
      <c r="C294" s="6" t="s">
        <v>695</v>
      </c>
      <c r="D294" s="6" t="s">
        <v>696</v>
      </c>
      <c r="E294" s="6" t="s">
        <v>2</v>
      </c>
    </row>
    <row r="295" spans="1:5" x14ac:dyDescent="0.25">
      <c r="A295" s="5" t="s">
        <v>204</v>
      </c>
      <c r="B295" s="6" t="s">
        <v>637</v>
      </c>
      <c r="C295" s="6" t="s">
        <v>697</v>
      </c>
      <c r="D295" s="6">
        <v>4</v>
      </c>
      <c r="E295" s="6" t="s">
        <v>524</v>
      </c>
    </row>
    <row r="296" spans="1:5" x14ac:dyDescent="0.25">
      <c r="A296" s="5" t="s">
        <v>204</v>
      </c>
      <c r="B296" s="6" t="s">
        <v>637</v>
      </c>
      <c r="C296" s="6" t="s">
        <v>698</v>
      </c>
      <c r="D296" s="6">
        <v>1.5</v>
      </c>
      <c r="E296" s="6" t="s">
        <v>524</v>
      </c>
    </row>
    <row r="297" spans="1:5" x14ac:dyDescent="0.25">
      <c r="A297" s="5" t="s">
        <v>204</v>
      </c>
      <c r="B297" s="6" t="s">
        <v>637</v>
      </c>
      <c r="C297" s="6" t="s">
        <v>575</v>
      </c>
      <c r="D297" s="6">
        <v>2</v>
      </c>
      <c r="E297" s="6" t="s">
        <v>699</v>
      </c>
    </row>
    <row r="298" spans="1:5" x14ac:dyDescent="0.25">
      <c r="A298" s="5" t="s">
        <v>204</v>
      </c>
      <c r="B298" s="6" t="s">
        <v>522</v>
      </c>
      <c r="C298" s="6" t="s">
        <v>700</v>
      </c>
      <c r="D298" s="6">
        <v>110</v>
      </c>
      <c r="E298" s="6" t="s">
        <v>701</v>
      </c>
    </row>
    <row r="299" spans="1:5" x14ac:dyDescent="0.25">
      <c r="A299" s="5" t="s">
        <v>204</v>
      </c>
      <c r="B299" s="6" t="s">
        <v>498</v>
      </c>
      <c r="C299" s="6" t="s">
        <v>702</v>
      </c>
      <c r="D299" s="6" t="s">
        <v>703</v>
      </c>
      <c r="E299" s="6" t="s">
        <v>2</v>
      </c>
    </row>
    <row r="300" spans="1:5" x14ac:dyDescent="0.25">
      <c r="A300" s="5" t="s">
        <v>204</v>
      </c>
      <c r="B300" s="6" t="s">
        <v>644</v>
      </c>
      <c r="C300" s="6" t="s">
        <v>704</v>
      </c>
      <c r="D300" s="6" t="s">
        <v>705</v>
      </c>
      <c r="E300" s="6" t="s">
        <v>2</v>
      </c>
    </row>
    <row r="301" spans="1:5" x14ac:dyDescent="0.25">
      <c r="A301" s="5" t="s">
        <v>210</v>
      </c>
      <c r="B301" s="6" t="s">
        <v>470</v>
      </c>
      <c r="C301" s="6" t="s">
        <v>693</v>
      </c>
      <c r="D301" s="6" t="s">
        <v>694</v>
      </c>
      <c r="E301" s="6" t="s">
        <v>2</v>
      </c>
    </row>
    <row r="302" spans="1:5" x14ac:dyDescent="0.25">
      <c r="A302" s="5" t="s">
        <v>210</v>
      </c>
      <c r="B302" s="6" t="s">
        <v>470</v>
      </c>
      <c r="C302" s="6" t="s">
        <v>695</v>
      </c>
      <c r="D302" s="6" t="s">
        <v>696</v>
      </c>
      <c r="E302" s="6" t="s">
        <v>2</v>
      </c>
    </row>
    <row r="303" spans="1:5" x14ac:dyDescent="0.25">
      <c r="A303" s="5" t="s">
        <v>210</v>
      </c>
      <c r="B303" s="6" t="s">
        <v>637</v>
      </c>
      <c r="C303" s="6" t="s">
        <v>697</v>
      </c>
      <c r="D303" s="6">
        <v>4</v>
      </c>
      <c r="E303" s="6" t="s">
        <v>524</v>
      </c>
    </row>
    <row r="304" spans="1:5" x14ac:dyDescent="0.25">
      <c r="A304" s="5" t="s">
        <v>210</v>
      </c>
      <c r="B304" s="6" t="s">
        <v>637</v>
      </c>
      <c r="C304" s="6" t="s">
        <v>698</v>
      </c>
      <c r="D304" s="6">
        <v>1.5</v>
      </c>
      <c r="E304" s="6" t="s">
        <v>524</v>
      </c>
    </row>
    <row r="305" spans="1:5" x14ac:dyDescent="0.25">
      <c r="A305" s="5" t="s">
        <v>210</v>
      </c>
      <c r="B305" s="6" t="s">
        <v>637</v>
      </c>
      <c r="C305" s="6" t="s">
        <v>575</v>
      </c>
      <c r="D305" s="6">
        <v>2</v>
      </c>
      <c r="E305" s="6" t="s">
        <v>699</v>
      </c>
    </row>
    <row r="306" spans="1:5" x14ac:dyDescent="0.25">
      <c r="A306" s="5" t="s">
        <v>210</v>
      </c>
      <c r="B306" s="6" t="s">
        <v>522</v>
      </c>
      <c r="C306" s="6" t="s">
        <v>700</v>
      </c>
      <c r="D306" s="6">
        <v>110</v>
      </c>
      <c r="E306" s="6" t="s">
        <v>701</v>
      </c>
    </row>
    <row r="307" spans="1:5" x14ac:dyDescent="0.25">
      <c r="A307" s="5" t="s">
        <v>210</v>
      </c>
      <c r="B307" s="6" t="s">
        <v>498</v>
      </c>
      <c r="C307" s="6" t="s">
        <v>702</v>
      </c>
      <c r="D307" s="6" t="s">
        <v>703</v>
      </c>
      <c r="E307" s="6" t="s">
        <v>2</v>
      </c>
    </row>
    <row r="308" spans="1:5" x14ac:dyDescent="0.25">
      <c r="A308" s="5" t="s">
        <v>210</v>
      </c>
      <c r="B308" s="6" t="s">
        <v>644</v>
      </c>
      <c r="C308" s="6" t="s">
        <v>704</v>
      </c>
      <c r="D308" s="6" t="s">
        <v>705</v>
      </c>
      <c r="E308" s="6" t="s">
        <v>2</v>
      </c>
    </row>
    <row r="309" spans="1:5" x14ac:dyDescent="0.25">
      <c r="A309" s="5" t="s">
        <v>214</v>
      </c>
      <c r="B309" s="6" t="s">
        <v>470</v>
      </c>
      <c r="C309" s="6" t="s">
        <v>693</v>
      </c>
      <c r="D309" s="6" t="s">
        <v>694</v>
      </c>
      <c r="E309" s="6" t="s">
        <v>2</v>
      </c>
    </row>
    <row r="310" spans="1:5" x14ac:dyDescent="0.25">
      <c r="A310" s="5" t="s">
        <v>214</v>
      </c>
      <c r="B310" s="6" t="s">
        <v>470</v>
      </c>
      <c r="C310" s="6" t="s">
        <v>695</v>
      </c>
      <c r="D310" s="6" t="s">
        <v>696</v>
      </c>
      <c r="E310" s="6" t="s">
        <v>2</v>
      </c>
    </row>
    <row r="311" spans="1:5" x14ac:dyDescent="0.25">
      <c r="A311" s="5" t="s">
        <v>214</v>
      </c>
      <c r="B311" s="6" t="s">
        <v>637</v>
      </c>
      <c r="C311" s="6" t="s">
        <v>697</v>
      </c>
      <c r="D311" s="6">
        <v>4</v>
      </c>
      <c r="E311" s="6" t="s">
        <v>524</v>
      </c>
    </row>
    <row r="312" spans="1:5" x14ac:dyDescent="0.25">
      <c r="A312" s="5" t="s">
        <v>214</v>
      </c>
      <c r="B312" s="6" t="s">
        <v>637</v>
      </c>
      <c r="C312" s="6" t="s">
        <v>698</v>
      </c>
      <c r="D312" s="6">
        <v>1.5</v>
      </c>
      <c r="E312" s="6" t="s">
        <v>524</v>
      </c>
    </row>
    <row r="313" spans="1:5" x14ac:dyDescent="0.25">
      <c r="A313" s="5" t="s">
        <v>214</v>
      </c>
      <c r="B313" s="6" t="s">
        <v>637</v>
      </c>
      <c r="C313" s="6" t="s">
        <v>575</v>
      </c>
      <c r="D313" s="6">
        <v>2</v>
      </c>
      <c r="E313" s="6" t="s">
        <v>699</v>
      </c>
    </row>
    <row r="314" spans="1:5" x14ac:dyDescent="0.25">
      <c r="A314" s="5" t="s">
        <v>214</v>
      </c>
      <c r="B314" s="6" t="s">
        <v>522</v>
      </c>
      <c r="C314" s="6" t="s">
        <v>700</v>
      </c>
      <c r="D314" s="6">
        <v>110</v>
      </c>
      <c r="E314" s="6" t="s">
        <v>701</v>
      </c>
    </row>
    <row r="315" spans="1:5" x14ac:dyDescent="0.25">
      <c r="A315" s="5" t="s">
        <v>214</v>
      </c>
      <c r="B315" s="6" t="s">
        <v>498</v>
      </c>
      <c r="C315" s="6" t="s">
        <v>702</v>
      </c>
      <c r="D315" s="6" t="s">
        <v>703</v>
      </c>
      <c r="E315" s="6" t="s">
        <v>2</v>
      </c>
    </row>
    <row r="316" spans="1:5" x14ac:dyDescent="0.25">
      <c r="A316" s="5" t="s">
        <v>214</v>
      </c>
      <c r="B316" s="6" t="s">
        <v>644</v>
      </c>
      <c r="C316" s="6" t="s">
        <v>704</v>
      </c>
      <c r="D316" s="6" t="s">
        <v>705</v>
      </c>
      <c r="E316" s="6" t="s">
        <v>2</v>
      </c>
    </row>
    <row r="317" spans="1:5" x14ac:dyDescent="0.25">
      <c r="A317" s="5" t="s">
        <v>218</v>
      </c>
      <c r="B317" s="6" t="s">
        <v>470</v>
      </c>
      <c r="C317" s="6" t="s">
        <v>706</v>
      </c>
      <c r="D317" s="6">
        <v>3</v>
      </c>
      <c r="E317" s="6" t="s">
        <v>2</v>
      </c>
    </row>
    <row r="318" spans="1:5" x14ac:dyDescent="0.25">
      <c r="A318" s="5" t="s">
        <v>218</v>
      </c>
      <c r="B318" s="6" t="s">
        <v>470</v>
      </c>
      <c r="C318" s="6" t="s">
        <v>40</v>
      </c>
      <c r="D318" s="6" t="s">
        <v>707</v>
      </c>
      <c r="E318" s="6" t="s">
        <v>2</v>
      </c>
    </row>
    <row r="319" spans="1:5" x14ac:dyDescent="0.25">
      <c r="A319" s="5" t="s">
        <v>218</v>
      </c>
      <c r="B319" s="6" t="s">
        <v>470</v>
      </c>
      <c r="C319" s="6" t="s">
        <v>708</v>
      </c>
      <c r="D319" s="6" t="s">
        <v>709</v>
      </c>
      <c r="E319" s="6" t="s">
        <v>2</v>
      </c>
    </row>
    <row r="320" spans="1:5" x14ac:dyDescent="0.25">
      <c r="A320" s="5" t="s">
        <v>218</v>
      </c>
      <c r="B320" s="6" t="s">
        <v>710</v>
      </c>
      <c r="C320" s="6" t="s">
        <v>711</v>
      </c>
      <c r="D320" s="6" t="s">
        <v>712</v>
      </c>
      <c r="E320" s="6" t="s">
        <v>2</v>
      </c>
    </row>
    <row r="321" spans="1:5" x14ac:dyDescent="0.25">
      <c r="A321" s="5" t="s">
        <v>218</v>
      </c>
      <c r="B321" s="6" t="s">
        <v>538</v>
      </c>
      <c r="C321" s="6" t="s">
        <v>669</v>
      </c>
      <c r="D321" s="6">
        <v>30</v>
      </c>
      <c r="E321" s="6" t="s">
        <v>543</v>
      </c>
    </row>
    <row r="322" spans="1:5" x14ac:dyDescent="0.25">
      <c r="A322" s="5" t="s">
        <v>224</v>
      </c>
      <c r="B322" s="6" t="s">
        <v>470</v>
      </c>
      <c r="C322" s="6" t="s">
        <v>40</v>
      </c>
      <c r="D322" s="6" t="s">
        <v>713</v>
      </c>
      <c r="E322" s="6" t="s">
        <v>2</v>
      </c>
    </row>
    <row r="323" spans="1:5" x14ac:dyDescent="0.25">
      <c r="A323" s="5" t="s">
        <v>224</v>
      </c>
      <c r="B323" s="6" t="s">
        <v>470</v>
      </c>
      <c r="C323" s="6" t="s">
        <v>516</v>
      </c>
      <c r="D323" s="6">
        <v>1000</v>
      </c>
      <c r="E323" s="6" t="s">
        <v>517</v>
      </c>
    </row>
    <row r="324" spans="1:5" x14ac:dyDescent="0.25">
      <c r="A324" s="5" t="s">
        <v>224</v>
      </c>
      <c r="B324" s="6" t="s">
        <v>470</v>
      </c>
      <c r="C324" s="6" t="s">
        <v>714</v>
      </c>
      <c r="D324" s="6" t="s">
        <v>715</v>
      </c>
      <c r="E324" s="6" t="s">
        <v>482</v>
      </c>
    </row>
    <row r="325" spans="1:5" x14ac:dyDescent="0.25">
      <c r="A325" s="5" t="s">
        <v>224</v>
      </c>
      <c r="B325" s="6" t="s">
        <v>716</v>
      </c>
      <c r="C325" s="6" t="s">
        <v>717</v>
      </c>
      <c r="D325" s="6" t="s">
        <v>718</v>
      </c>
      <c r="E325" s="6" t="s">
        <v>2</v>
      </c>
    </row>
    <row r="326" spans="1:5" x14ac:dyDescent="0.25">
      <c r="A326" s="5" t="s">
        <v>224</v>
      </c>
      <c r="B326" s="6" t="s">
        <v>716</v>
      </c>
      <c r="C326" s="6" t="s">
        <v>577</v>
      </c>
      <c r="D326" s="6" t="s">
        <v>719</v>
      </c>
      <c r="E326" s="6" t="s">
        <v>482</v>
      </c>
    </row>
    <row r="327" spans="1:5" x14ac:dyDescent="0.25">
      <c r="A327" s="5" t="s">
        <v>224</v>
      </c>
      <c r="B327" s="6" t="s">
        <v>522</v>
      </c>
      <c r="C327" s="6" t="s">
        <v>720</v>
      </c>
      <c r="D327" s="6">
        <v>2</v>
      </c>
      <c r="E327" s="6" t="s">
        <v>524</v>
      </c>
    </row>
    <row r="328" spans="1:5" x14ac:dyDescent="0.25">
      <c r="A328" s="5" t="s">
        <v>224</v>
      </c>
      <c r="B328" s="6" t="s">
        <v>721</v>
      </c>
      <c r="C328" s="6" t="s">
        <v>40</v>
      </c>
      <c r="D328" s="6" t="s">
        <v>722</v>
      </c>
      <c r="E328" s="6" t="s">
        <v>2</v>
      </c>
    </row>
    <row r="329" spans="1:5" x14ac:dyDescent="0.25">
      <c r="A329" s="5" t="s">
        <v>224</v>
      </c>
      <c r="B329" s="6" t="s">
        <v>721</v>
      </c>
      <c r="C329" s="6" t="s">
        <v>723</v>
      </c>
      <c r="D329" s="6" t="s">
        <v>724</v>
      </c>
      <c r="E329" s="6" t="s">
        <v>2</v>
      </c>
    </row>
    <row r="330" spans="1:5" x14ac:dyDescent="0.25">
      <c r="A330" s="5" t="s">
        <v>224</v>
      </c>
      <c r="B330" s="6" t="s">
        <v>644</v>
      </c>
      <c r="C330" s="6" t="s">
        <v>725</v>
      </c>
      <c r="D330" s="6" t="s">
        <v>726</v>
      </c>
      <c r="E330" s="6" t="s">
        <v>2</v>
      </c>
    </row>
    <row r="331" spans="1:5" x14ac:dyDescent="0.25">
      <c r="A331" s="5" t="s">
        <v>224</v>
      </c>
      <c r="B331" s="6" t="s">
        <v>727</v>
      </c>
      <c r="C331" s="6" t="s">
        <v>728</v>
      </c>
      <c r="D331" s="6" t="s">
        <v>729</v>
      </c>
      <c r="E331" s="6" t="s">
        <v>2</v>
      </c>
    </row>
    <row r="332" spans="1:5" x14ac:dyDescent="0.25">
      <c r="A332" s="5" t="s">
        <v>233</v>
      </c>
      <c r="B332" s="6" t="s">
        <v>470</v>
      </c>
      <c r="C332" s="6" t="s">
        <v>40</v>
      </c>
      <c r="D332" s="6" t="s">
        <v>713</v>
      </c>
      <c r="E332" s="6" t="s">
        <v>2</v>
      </c>
    </row>
    <row r="333" spans="1:5" x14ac:dyDescent="0.25">
      <c r="A333" s="5" t="s">
        <v>233</v>
      </c>
      <c r="B333" s="6" t="s">
        <v>470</v>
      </c>
      <c r="C333" s="6" t="s">
        <v>516</v>
      </c>
      <c r="D333" s="6">
        <v>1000</v>
      </c>
      <c r="E333" s="6" t="s">
        <v>517</v>
      </c>
    </row>
    <row r="334" spans="1:5" x14ac:dyDescent="0.25">
      <c r="A334" s="5" t="s">
        <v>233</v>
      </c>
      <c r="B334" s="6" t="s">
        <v>470</v>
      </c>
      <c r="C334" s="6" t="s">
        <v>714</v>
      </c>
      <c r="D334" s="6" t="s">
        <v>715</v>
      </c>
      <c r="E334" s="6" t="s">
        <v>482</v>
      </c>
    </row>
    <row r="335" spans="1:5" x14ac:dyDescent="0.25">
      <c r="A335" s="5" t="s">
        <v>233</v>
      </c>
      <c r="B335" s="6" t="s">
        <v>716</v>
      </c>
      <c r="C335" s="6" t="s">
        <v>717</v>
      </c>
      <c r="D335" s="6" t="s">
        <v>718</v>
      </c>
      <c r="E335" s="6" t="s">
        <v>2</v>
      </c>
    </row>
    <row r="336" spans="1:5" x14ac:dyDescent="0.25">
      <c r="A336" s="5" t="s">
        <v>233</v>
      </c>
      <c r="B336" s="6" t="s">
        <v>716</v>
      </c>
      <c r="C336" s="6" t="s">
        <v>577</v>
      </c>
      <c r="D336" s="6" t="s">
        <v>719</v>
      </c>
      <c r="E336" s="6" t="s">
        <v>482</v>
      </c>
    </row>
    <row r="337" spans="1:5" x14ac:dyDescent="0.25">
      <c r="A337" s="5" t="s">
        <v>233</v>
      </c>
      <c r="B337" s="6" t="s">
        <v>522</v>
      </c>
      <c r="C337" s="6" t="s">
        <v>720</v>
      </c>
      <c r="D337" s="6">
        <v>2</v>
      </c>
      <c r="E337" s="6" t="s">
        <v>524</v>
      </c>
    </row>
    <row r="338" spans="1:5" x14ac:dyDescent="0.25">
      <c r="A338" s="5" t="s">
        <v>233</v>
      </c>
      <c r="B338" s="6" t="s">
        <v>721</v>
      </c>
      <c r="C338" s="6" t="s">
        <v>40</v>
      </c>
      <c r="D338" s="6" t="s">
        <v>722</v>
      </c>
      <c r="E338" s="6" t="s">
        <v>2</v>
      </c>
    </row>
    <row r="339" spans="1:5" x14ac:dyDescent="0.25">
      <c r="A339" s="5" t="s">
        <v>233</v>
      </c>
      <c r="B339" s="6" t="s">
        <v>721</v>
      </c>
      <c r="C339" s="6" t="s">
        <v>723</v>
      </c>
      <c r="D339" s="6" t="s">
        <v>724</v>
      </c>
      <c r="E339" s="6" t="s">
        <v>2</v>
      </c>
    </row>
    <row r="340" spans="1:5" x14ac:dyDescent="0.25">
      <c r="A340" s="5" t="s">
        <v>233</v>
      </c>
      <c r="B340" s="6" t="s">
        <v>644</v>
      </c>
      <c r="C340" s="6" t="s">
        <v>725</v>
      </c>
      <c r="D340" s="6" t="s">
        <v>726</v>
      </c>
      <c r="E340" s="6" t="s">
        <v>2</v>
      </c>
    </row>
    <row r="341" spans="1:5" x14ac:dyDescent="0.25">
      <c r="A341" s="5" t="s">
        <v>233</v>
      </c>
      <c r="B341" s="6" t="s">
        <v>727</v>
      </c>
      <c r="C341" s="6" t="s">
        <v>728</v>
      </c>
      <c r="D341" s="6" t="s">
        <v>729</v>
      </c>
      <c r="E341" s="6" t="s">
        <v>2</v>
      </c>
    </row>
    <row r="342" spans="1:5" x14ac:dyDescent="0.25">
      <c r="A342" s="5" t="s">
        <v>237</v>
      </c>
      <c r="B342" s="6" t="s">
        <v>470</v>
      </c>
      <c r="C342" s="6" t="s">
        <v>40</v>
      </c>
      <c r="D342" s="6" t="s">
        <v>713</v>
      </c>
      <c r="E342" s="6" t="s">
        <v>2</v>
      </c>
    </row>
    <row r="343" spans="1:5" x14ac:dyDescent="0.25">
      <c r="A343" s="5" t="s">
        <v>237</v>
      </c>
      <c r="B343" s="6" t="s">
        <v>470</v>
      </c>
      <c r="C343" s="6" t="s">
        <v>516</v>
      </c>
      <c r="D343" s="6">
        <v>1000</v>
      </c>
      <c r="E343" s="6" t="s">
        <v>517</v>
      </c>
    </row>
    <row r="344" spans="1:5" x14ac:dyDescent="0.25">
      <c r="A344" s="5" t="s">
        <v>237</v>
      </c>
      <c r="B344" s="6" t="s">
        <v>470</v>
      </c>
      <c r="C344" s="6" t="s">
        <v>714</v>
      </c>
      <c r="D344" s="6" t="s">
        <v>715</v>
      </c>
      <c r="E344" s="6" t="s">
        <v>482</v>
      </c>
    </row>
    <row r="345" spans="1:5" x14ac:dyDescent="0.25">
      <c r="A345" s="5" t="s">
        <v>237</v>
      </c>
      <c r="B345" s="6" t="s">
        <v>716</v>
      </c>
      <c r="C345" s="6" t="s">
        <v>717</v>
      </c>
      <c r="D345" s="6" t="s">
        <v>718</v>
      </c>
      <c r="E345" s="6" t="s">
        <v>2</v>
      </c>
    </row>
    <row r="346" spans="1:5" x14ac:dyDescent="0.25">
      <c r="A346" s="5" t="s">
        <v>237</v>
      </c>
      <c r="B346" s="6" t="s">
        <v>716</v>
      </c>
      <c r="C346" s="6" t="s">
        <v>577</v>
      </c>
      <c r="D346" s="6" t="s">
        <v>719</v>
      </c>
      <c r="E346" s="6" t="s">
        <v>482</v>
      </c>
    </row>
    <row r="347" spans="1:5" x14ac:dyDescent="0.25">
      <c r="A347" s="5" t="s">
        <v>237</v>
      </c>
      <c r="B347" s="6" t="s">
        <v>522</v>
      </c>
      <c r="C347" s="6" t="s">
        <v>720</v>
      </c>
      <c r="D347" s="6">
        <v>2</v>
      </c>
      <c r="E347" s="6" t="s">
        <v>524</v>
      </c>
    </row>
    <row r="348" spans="1:5" x14ac:dyDescent="0.25">
      <c r="A348" s="5" t="s">
        <v>237</v>
      </c>
      <c r="B348" s="6" t="s">
        <v>721</v>
      </c>
      <c r="C348" s="6" t="s">
        <v>40</v>
      </c>
      <c r="D348" s="6" t="s">
        <v>722</v>
      </c>
      <c r="E348" s="6" t="s">
        <v>2</v>
      </c>
    </row>
    <row r="349" spans="1:5" x14ac:dyDescent="0.25">
      <c r="A349" s="5" t="s">
        <v>237</v>
      </c>
      <c r="B349" s="6" t="s">
        <v>721</v>
      </c>
      <c r="C349" s="6" t="s">
        <v>723</v>
      </c>
      <c r="D349" s="6" t="s">
        <v>724</v>
      </c>
      <c r="E349" s="6" t="s">
        <v>2</v>
      </c>
    </row>
    <row r="350" spans="1:5" x14ac:dyDescent="0.25">
      <c r="A350" s="5" t="s">
        <v>237</v>
      </c>
      <c r="B350" s="6" t="s">
        <v>644</v>
      </c>
      <c r="C350" s="6" t="s">
        <v>725</v>
      </c>
      <c r="D350" s="6" t="s">
        <v>726</v>
      </c>
      <c r="E350" s="6" t="s">
        <v>2</v>
      </c>
    </row>
    <row r="351" spans="1:5" x14ac:dyDescent="0.25">
      <c r="A351" s="5" t="s">
        <v>237</v>
      </c>
      <c r="B351" s="6" t="s">
        <v>727</v>
      </c>
      <c r="C351" s="6" t="s">
        <v>728</v>
      </c>
      <c r="D351" s="6" t="s">
        <v>729</v>
      </c>
      <c r="E351" s="6" t="s">
        <v>2</v>
      </c>
    </row>
    <row r="352" spans="1:5" x14ac:dyDescent="0.25">
      <c r="A352" s="5" t="s">
        <v>241</v>
      </c>
      <c r="B352" s="6" t="s">
        <v>470</v>
      </c>
      <c r="C352" s="6" t="s">
        <v>40</v>
      </c>
      <c r="D352" s="6" t="s">
        <v>713</v>
      </c>
      <c r="E352" s="6" t="s">
        <v>2</v>
      </c>
    </row>
    <row r="353" spans="1:5" x14ac:dyDescent="0.25">
      <c r="A353" s="5" t="s">
        <v>241</v>
      </c>
      <c r="B353" s="6" t="s">
        <v>470</v>
      </c>
      <c r="C353" s="6" t="s">
        <v>516</v>
      </c>
      <c r="D353" s="6">
        <v>1000</v>
      </c>
      <c r="E353" s="6" t="s">
        <v>517</v>
      </c>
    </row>
    <row r="354" spans="1:5" x14ac:dyDescent="0.25">
      <c r="A354" s="5" t="s">
        <v>241</v>
      </c>
      <c r="B354" s="6" t="s">
        <v>470</v>
      </c>
      <c r="C354" s="6" t="s">
        <v>714</v>
      </c>
      <c r="D354" s="6" t="s">
        <v>715</v>
      </c>
      <c r="E354" s="6" t="s">
        <v>482</v>
      </c>
    </row>
    <row r="355" spans="1:5" x14ac:dyDescent="0.25">
      <c r="A355" s="5" t="s">
        <v>241</v>
      </c>
      <c r="B355" s="6" t="s">
        <v>716</v>
      </c>
      <c r="C355" s="6" t="s">
        <v>717</v>
      </c>
      <c r="D355" s="6" t="s">
        <v>718</v>
      </c>
      <c r="E355" s="6" t="s">
        <v>2</v>
      </c>
    </row>
    <row r="356" spans="1:5" x14ac:dyDescent="0.25">
      <c r="A356" s="5" t="s">
        <v>241</v>
      </c>
      <c r="B356" s="6" t="s">
        <v>716</v>
      </c>
      <c r="C356" s="6" t="s">
        <v>577</v>
      </c>
      <c r="D356" s="6" t="s">
        <v>719</v>
      </c>
      <c r="E356" s="6" t="s">
        <v>482</v>
      </c>
    </row>
    <row r="357" spans="1:5" x14ac:dyDescent="0.25">
      <c r="A357" s="5" t="s">
        <v>241</v>
      </c>
      <c r="B357" s="6" t="s">
        <v>522</v>
      </c>
      <c r="C357" s="6" t="s">
        <v>720</v>
      </c>
      <c r="D357" s="6">
        <v>2</v>
      </c>
      <c r="E357" s="6" t="s">
        <v>524</v>
      </c>
    </row>
    <row r="358" spans="1:5" x14ac:dyDescent="0.25">
      <c r="A358" s="5" t="s">
        <v>241</v>
      </c>
      <c r="B358" s="6" t="s">
        <v>721</v>
      </c>
      <c r="C358" s="6" t="s">
        <v>40</v>
      </c>
      <c r="D358" s="6" t="s">
        <v>722</v>
      </c>
      <c r="E358" s="6" t="s">
        <v>2</v>
      </c>
    </row>
    <row r="359" spans="1:5" x14ac:dyDescent="0.25">
      <c r="A359" s="5" t="s">
        <v>241</v>
      </c>
      <c r="B359" s="6" t="s">
        <v>721</v>
      </c>
      <c r="C359" s="6" t="s">
        <v>723</v>
      </c>
      <c r="D359" s="6" t="s">
        <v>724</v>
      </c>
      <c r="E359" s="6" t="s">
        <v>2</v>
      </c>
    </row>
    <row r="360" spans="1:5" x14ac:dyDescent="0.25">
      <c r="A360" s="5" t="s">
        <v>241</v>
      </c>
      <c r="B360" s="6" t="s">
        <v>644</v>
      </c>
      <c r="C360" s="6" t="s">
        <v>725</v>
      </c>
      <c r="D360" s="6" t="s">
        <v>726</v>
      </c>
      <c r="E360" s="6" t="s">
        <v>2</v>
      </c>
    </row>
    <row r="361" spans="1:5" x14ac:dyDescent="0.25">
      <c r="A361" s="5" t="s">
        <v>241</v>
      </c>
      <c r="B361" s="6" t="s">
        <v>727</v>
      </c>
      <c r="C361" s="6" t="s">
        <v>728</v>
      </c>
      <c r="D361" s="6" t="s">
        <v>729</v>
      </c>
      <c r="E361" s="6" t="s">
        <v>2</v>
      </c>
    </row>
    <row r="362" spans="1:5" x14ac:dyDescent="0.25">
      <c r="A362" s="5" t="s">
        <v>245</v>
      </c>
      <c r="B362" s="6" t="s">
        <v>470</v>
      </c>
      <c r="C362" s="6" t="s">
        <v>40</v>
      </c>
      <c r="D362" s="6" t="s">
        <v>713</v>
      </c>
      <c r="E362" s="6" t="s">
        <v>2</v>
      </c>
    </row>
    <row r="363" spans="1:5" x14ac:dyDescent="0.25">
      <c r="A363" s="5" t="s">
        <v>245</v>
      </c>
      <c r="B363" s="6" t="s">
        <v>470</v>
      </c>
      <c r="C363" s="6" t="s">
        <v>516</v>
      </c>
      <c r="D363" s="6">
        <v>1000</v>
      </c>
      <c r="E363" s="6" t="s">
        <v>517</v>
      </c>
    </row>
    <row r="364" spans="1:5" x14ac:dyDescent="0.25">
      <c r="A364" s="5" t="s">
        <v>245</v>
      </c>
      <c r="B364" s="6" t="s">
        <v>470</v>
      </c>
      <c r="C364" s="6" t="s">
        <v>714</v>
      </c>
      <c r="D364" s="6" t="s">
        <v>715</v>
      </c>
      <c r="E364" s="6" t="s">
        <v>482</v>
      </c>
    </row>
    <row r="365" spans="1:5" x14ac:dyDescent="0.25">
      <c r="A365" s="5" t="s">
        <v>245</v>
      </c>
      <c r="B365" s="6" t="s">
        <v>716</v>
      </c>
      <c r="C365" s="6" t="s">
        <v>717</v>
      </c>
      <c r="D365" s="6" t="s">
        <v>718</v>
      </c>
      <c r="E365" s="6" t="s">
        <v>2</v>
      </c>
    </row>
    <row r="366" spans="1:5" x14ac:dyDescent="0.25">
      <c r="A366" s="5" t="s">
        <v>245</v>
      </c>
      <c r="B366" s="6" t="s">
        <v>716</v>
      </c>
      <c r="C366" s="6" t="s">
        <v>577</v>
      </c>
      <c r="D366" s="6" t="s">
        <v>719</v>
      </c>
      <c r="E366" s="6" t="s">
        <v>482</v>
      </c>
    </row>
    <row r="367" spans="1:5" x14ac:dyDescent="0.25">
      <c r="A367" s="5" t="s">
        <v>245</v>
      </c>
      <c r="B367" s="6" t="s">
        <v>522</v>
      </c>
      <c r="C367" s="6" t="s">
        <v>720</v>
      </c>
      <c r="D367" s="6">
        <v>2</v>
      </c>
      <c r="E367" s="6" t="s">
        <v>524</v>
      </c>
    </row>
    <row r="368" spans="1:5" x14ac:dyDescent="0.25">
      <c r="A368" s="5" t="s">
        <v>245</v>
      </c>
      <c r="B368" s="6" t="s">
        <v>721</v>
      </c>
      <c r="C368" s="6" t="s">
        <v>40</v>
      </c>
      <c r="D368" s="6" t="s">
        <v>722</v>
      </c>
      <c r="E368" s="6" t="s">
        <v>2</v>
      </c>
    </row>
    <row r="369" spans="1:5" x14ac:dyDescent="0.25">
      <c r="A369" s="5" t="s">
        <v>245</v>
      </c>
      <c r="B369" s="6" t="s">
        <v>721</v>
      </c>
      <c r="C369" s="6" t="s">
        <v>723</v>
      </c>
      <c r="D369" s="6" t="s">
        <v>724</v>
      </c>
      <c r="E369" s="6" t="s">
        <v>2</v>
      </c>
    </row>
    <row r="370" spans="1:5" x14ac:dyDescent="0.25">
      <c r="A370" s="5" t="s">
        <v>245</v>
      </c>
      <c r="B370" s="6" t="s">
        <v>644</v>
      </c>
      <c r="C370" s="6" t="s">
        <v>725</v>
      </c>
      <c r="D370" s="6" t="s">
        <v>726</v>
      </c>
      <c r="E370" s="6" t="s">
        <v>2</v>
      </c>
    </row>
    <row r="371" spans="1:5" x14ac:dyDescent="0.25">
      <c r="A371" s="5" t="s">
        <v>245</v>
      </c>
      <c r="B371" s="6" t="s">
        <v>727</v>
      </c>
      <c r="C371" s="6" t="s">
        <v>728</v>
      </c>
      <c r="D371" s="6" t="s">
        <v>729</v>
      </c>
      <c r="E371" s="6" t="s">
        <v>2</v>
      </c>
    </row>
    <row r="372" spans="1:5" x14ac:dyDescent="0.25">
      <c r="A372" s="5" t="s">
        <v>249</v>
      </c>
      <c r="B372" s="6" t="s">
        <v>470</v>
      </c>
      <c r="C372" s="6" t="s">
        <v>40</v>
      </c>
      <c r="D372" s="6" t="s">
        <v>730</v>
      </c>
      <c r="E372" s="6" t="s">
        <v>2</v>
      </c>
    </row>
    <row r="373" spans="1:5" x14ac:dyDescent="0.25">
      <c r="A373" s="5" t="s">
        <v>249</v>
      </c>
      <c r="B373" s="6" t="s">
        <v>470</v>
      </c>
      <c r="C373" s="6" t="s">
        <v>516</v>
      </c>
      <c r="D373" s="6">
        <v>1500</v>
      </c>
      <c r="E373" s="6" t="s">
        <v>517</v>
      </c>
    </row>
    <row r="374" spans="1:5" x14ac:dyDescent="0.25">
      <c r="A374" s="5" t="s">
        <v>249</v>
      </c>
      <c r="B374" s="6" t="s">
        <v>470</v>
      </c>
      <c r="C374" s="6" t="s">
        <v>731</v>
      </c>
      <c r="D374" s="6">
        <v>3000</v>
      </c>
      <c r="E374" s="6" t="s">
        <v>482</v>
      </c>
    </row>
    <row r="375" spans="1:5" x14ac:dyDescent="0.25">
      <c r="A375" s="5" t="s">
        <v>249</v>
      </c>
      <c r="B375" s="6" t="s">
        <v>716</v>
      </c>
      <c r="C375" s="6" t="s">
        <v>717</v>
      </c>
      <c r="D375" s="6" t="s">
        <v>732</v>
      </c>
      <c r="E375" s="6" t="s">
        <v>2</v>
      </c>
    </row>
    <row r="376" spans="1:5" x14ac:dyDescent="0.25">
      <c r="A376" s="5" t="s">
        <v>249</v>
      </c>
      <c r="B376" s="6" t="s">
        <v>716</v>
      </c>
      <c r="C376" s="6" t="s">
        <v>577</v>
      </c>
      <c r="D376" s="6" t="s">
        <v>733</v>
      </c>
      <c r="E376" s="6" t="s">
        <v>482</v>
      </c>
    </row>
    <row r="377" spans="1:5" x14ac:dyDescent="0.25">
      <c r="A377" s="5" t="s">
        <v>249</v>
      </c>
      <c r="B377" s="6" t="s">
        <v>522</v>
      </c>
      <c r="C377" s="6" t="s">
        <v>734</v>
      </c>
      <c r="D377" s="6" t="s">
        <v>735</v>
      </c>
      <c r="E377" s="6" t="s">
        <v>524</v>
      </c>
    </row>
    <row r="378" spans="1:5" x14ac:dyDescent="0.25">
      <c r="A378" s="5" t="s">
        <v>249</v>
      </c>
      <c r="B378" s="6" t="s">
        <v>721</v>
      </c>
      <c r="C378" s="6" t="s">
        <v>40</v>
      </c>
      <c r="D378" s="6" t="s">
        <v>736</v>
      </c>
      <c r="E378" s="6" t="s">
        <v>2</v>
      </c>
    </row>
    <row r="379" spans="1:5" x14ac:dyDescent="0.25">
      <c r="A379" s="5" t="s">
        <v>249</v>
      </c>
      <c r="B379" s="6" t="s">
        <v>644</v>
      </c>
      <c r="C379" s="6" t="s">
        <v>725</v>
      </c>
      <c r="D379" s="6" t="s">
        <v>737</v>
      </c>
      <c r="E379" s="6" t="s">
        <v>2</v>
      </c>
    </row>
    <row r="380" spans="1:5" x14ac:dyDescent="0.25">
      <c r="A380" s="5" t="s">
        <v>255</v>
      </c>
      <c r="B380" s="6" t="s">
        <v>470</v>
      </c>
      <c r="C380" s="6" t="s">
        <v>738</v>
      </c>
      <c r="D380" s="6">
        <v>300</v>
      </c>
      <c r="E380" s="6" t="s">
        <v>739</v>
      </c>
    </row>
    <row r="381" spans="1:5" x14ac:dyDescent="0.25">
      <c r="A381" s="5" t="s">
        <v>255</v>
      </c>
      <c r="B381" s="6" t="s">
        <v>470</v>
      </c>
      <c r="C381" s="6" t="s">
        <v>740</v>
      </c>
      <c r="D381" s="6">
        <v>48</v>
      </c>
      <c r="E381" s="6" t="s">
        <v>741</v>
      </c>
    </row>
    <row r="382" spans="1:5" x14ac:dyDescent="0.25">
      <c r="A382" s="5" t="s">
        <v>255</v>
      </c>
      <c r="B382" s="6" t="s">
        <v>470</v>
      </c>
      <c r="C382" s="6" t="s">
        <v>742</v>
      </c>
      <c r="D382" s="6" t="s">
        <v>743</v>
      </c>
      <c r="E382" s="6" t="s">
        <v>2</v>
      </c>
    </row>
    <row r="383" spans="1:5" x14ac:dyDescent="0.25">
      <c r="A383" s="5" t="s">
        <v>255</v>
      </c>
      <c r="B383" s="6" t="s">
        <v>498</v>
      </c>
      <c r="C383" s="6" t="s">
        <v>744</v>
      </c>
      <c r="D383" s="6" t="s">
        <v>745</v>
      </c>
      <c r="E383" s="6" t="s">
        <v>2</v>
      </c>
    </row>
    <row r="384" spans="1:5" x14ac:dyDescent="0.25">
      <c r="A384" s="5" t="s">
        <v>261</v>
      </c>
      <c r="B384" s="6" t="s">
        <v>470</v>
      </c>
      <c r="C384" s="6" t="s">
        <v>738</v>
      </c>
      <c r="D384" s="6">
        <v>300</v>
      </c>
      <c r="E384" s="6" t="s">
        <v>739</v>
      </c>
    </row>
    <row r="385" spans="1:5" x14ac:dyDescent="0.25">
      <c r="A385" s="5" t="s">
        <v>261</v>
      </c>
      <c r="B385" s="6" t="s">
        <v>470</v>
      </c>
      <c r="C385" s="6" t="s">
        <v>740</v>
      </c>
      <c r="D385" s="6">
        <v>48</v>
      </c>
      <c r="E385" s="6" t="s">
        <v>741</v>
      </c>
    </row>
    <row r="386" spans="1:5" x14ac:dyDescent="0.25">
      <c r="A386" s="5" t="s">
        <v>261</v>
      </c>
      <c r="B386" s="6" t="s">
        <v>470</v>
      </c>
      <c r="C386" s="6" t="s">
        <v>742</v>
      </c>
      <c r="D386" s="6" t="s">
        <v>743</v>
      </c>
      <c r="E386" s="6" t="s">
        <v>2</v>
      </c>
    </row>
    <row r="387" spans="1:5" x14ac:dyDescent="0.25">
      <c r="A387" s="5" t="s">
        <v>261</v>
      </c>
      <c r="B387" s="6" t="s">
        <v>498</v>
      </c>
      <c r="C387" s="6" t="s">
        <v>744</v>
      </c>
      <c r="D387" s="6" t="s">
        <v>745</v>
      </c>
      <c r="E387" s="6" t="s">
        <v>2</v>
      </c>
    </row>
    <row r="388" spans="1:5" x14ac:dyDescent="0.25">
      <c r="A388" s="5" t="s">
        <v>265</v>
      </c>
      <c r="B388" s="6" t="s">
        <v>470</v>
      </c>
      <c r="C388" s="6" t="s">
        <v>738</v>
      </c>
      <c r="D388" s="6">
        <v>300</v>
      </c>
      <c r="E388" s="6" t="s">
        <v>739</v>
      </c>
    </row>
    <row r="389" spans="1:5" x14ac:dyDescent="0.25">
      <c r="A389" s="5" t="s">
        <v>265</v>
      </c>
      <c r="B389" s="6" t="s">
        <v>470</v>
      </c>
      <c r="C389" s="6" t="s">
        <v>740</v>
      </c>
      <c r="D389" s="6">
        <v>48</v>
      </c>
      <c r="E389" s="6" t="s">
        <v>741</v>
      </c>
    </row>
    <row r="390" spans="1:5" x14ac:dyDescent="0.25">
      <c r="A390" s="5" t="s">
        <v>265</v>
      </c>
      <c r="B390" s="6" t="s">
        <v>470</v>
      </c>
      <c r="C390" s="6" t="s">
        <v>742</v>
      </c>
      <c r="D390" s="6" t="s">
        <v>743</v>
      </c>
      <c r="E390" s="6" t="s">
        <v>2</v>
      </c>
    </row>
    <row r="391" spans="1:5" x14ac:dyDescent="0.25">
      <c r="A391" s="5" t="s">
        <v>265</v>
      </c>
      <c r="B391" s="6" t="s">
        <v>498</v>
      </c>
      <c r="C391" s="6" t="s">
        <v>744</v>
      </c>
      <c r="D391" s="6" t="s">
        <v>745</v>
      </c>
      <c r="E391" s="6" t="s">
        <v>2</v>
      </c>
    </row>
    <row r="392" spans="1:5" x14ac:dyDescent="0.25">
      <c r="A392" s="5" t="s">
        <v>269</v>
      </c>
      <c r="B392" s="6" t="s">
        <v>470</v>
      </c>
      <c r="C392" s="6" t="s">
        <v>40</v>
      </c>
      <c r="D392" s="6" t="s">
        <v>746</v>
      </c>
      <c r="E392" s="6" t="s">
        <v>2</v>
      </c>
    </row>
    <row r="393" spans="1:5" x14ac:dyDescent="0.25">
      <c r="A393" s="5" t="s">
        <v>269</v>
      </c>
      <c r="B393" s="6" t="s">
        <v>470</v>
      </c>
      <c r="C393" s="6" t="s">
        <v>747</v>
      </c>
      <c r="D393" s="6">
        <v>79</v>
      </c>
      <c r="E393" s="6" t="s">
        <v>479</v>
      </c>
    </row>
    <row r="394" spans="1:5" x14ac:dyDescent="0.25">
      <c r="A394" s="5" t="s">
        <v>269</v>
      </c>
      <c r="B394" s="6" t="s">
        <v>470</v>
      </c>
      <c r="C394" s="6" t="s">
        <v>748</v>
      </c>
      <c r="D394" s="6">
        <v>16</v>
      </c>
      <c r="E394" s="6" t="s">
        <v>2</v>
      </c>
    </row>
    <row r="395" spans="1:5" x14ac:dyDescent="0.25">
      <c r="A395" s="5" t="s">
        <v>269</v>
      </c>
      <c r="B395" s="6" t="s">
        <v>470</v>
      </c>
      <c r="C395" s="6" t="s">
        <v>749</v>
      </c>
      <c r="D395" s="6" t="s">
        <v>750</v>
      </c>
      <c r="E395" s="6" t="s">
        <v>482</v>
      </c>
    </row>
    <row r="396" spans="1:5" x14ac:dyDescent="0.25">
      <c r="A396" s="5" t="s">
        <v>269</v>
      </c>
      <c r="B396" s="6" t="s">
        <v>538</v>
      </c>
      <c r="C396" s="6" t="s">
        <v>669</v>
      </c>
      <c r="D396" s="6">
        <v>18</v>
      </c>
      <c r="E396" s="6" t="s">
        <v>543</v>
      </c>
    </row>
    <row r="397" spans="1:5" x14ac:dyDescent="0.25">
      <c r="A397" s="5" t="s">
        <v>269</v>
      </c>
      <c r="B397" s="6" t="s">
        <v>511</v>
      </c>
      <c r="C397" s="6" t="s">
        <v>751</v>
      </c>
      <c r="D397" s="6" t="s">
        <v>752</v>
      </c>
      <c r="E397" s="6" t="s">
        <v>2</v>
      </c>
    </row>
    <row r="398" spans="1:5" x14ac:dyDescent="0.25">
      <c r="A398" s="5" t="s">
        <v>269</v>
      </c>
      <c r="B398" s="6" t="s">
        <v>511</v>
      </c>
      <c r="C398" s="6" t="s">
        <v>753</v>
      </c>
      <c r="D398" s="6" t="s">
        <v>754</v>
      </c>
      <c r="E398" s="6" t="s">
        <v>2</v>
      </c>
    </row>
    <row r="399" spans="1:5" x14ac:dyDescent="0.25">
      <c r="A399" s="5" t="s">
        <v>276</v>
      </c>
      <c r="B399" s="6" t="s">
        <v>470</v>
      </c>
      <c r="C399" s="6" t="s">
        <v>40</v>
      </c>
      <c r="D399" s="6" t="s">
        <v>755</v>
      </c>
      <c r="E399" s="6" t="s">
        <v>2</v>
      </c>
    </row>
    <row r="400" spans="1:5" x14ac:dyDescent="0.25">
      <c r="A400" s="5" t="s">
        <v>276</v>
      </c>
      <c r="B400" s="6" t="s">
        <v>470</v>
      </c>
      <c r="C400" s="6" t="s">
        <v>536</v>
      </c>
      <c r="D400" s="6">
        <v>27.8</v>
      </c>
      <c r="E400" s="6" t="s">
        <v>479</v>
      </c>
    </row>
    <row r="401" spans="1:5" x14ac:dyDescent="0.25">
      <c r="A401" s="5" t="s">
        <v>276</v>
      </c>
      <c r="B401" s="6" t="s">
        <v>470</v>
      </c>
      <c r="C401" s="6" t="s">
        <v>756</v>
      </c>
      <c r="D401" s="6">
        <v>18</v>
      </c>
      <c r="E401" s="6" t="s">
        <v>757</v>
      </c>
    </row>
    <row r="402" spans="1:5" x14ac:dyDescent="0.25">
      <c r="A402" s="5" t="s">
        <v>276</v>
      </c>
      <c r="B402" s="6" t="s">
        <v>538</v>
      </c>
      <c r="C402" s="6" t="s">
        <v>669</v>
      </c>
      <c r="D402" s="6">
        <v>24</v>
      </c>
      <c r="E402" s="6" t="s">
        <v>543</v>
      </c>
    </row>
    <row r="403" spans="1:5" x14ac:dyDescent="0.25">
      <c r="A403" s="5" t="s">
        <v>280</v>
      </c>
      <c r="B403" s="6" t="s">
        <v>470</v>
      </c>
      <c r="C403" s="6" t="s">
        <v>40</v>
      </c>
      <c r="D403" s="6" t="s">
        <v>758</v>
      </c>
      <c r="E403" s="6" t="s">
        <v>2</v>
      </c>
    </row>
    <row r="404" spans="1:5" x14ac:dyDescent="0.25">
      <c r="A404" s="5" t="s">
        <v>280</v>
      </c>
      <c r="B404" s="6" t="s">
        <v>470</v>
      </c>
      <c r="C404" s="6" t="s">
        <v>536</v>
      </c>
      <c r="D404" s="6">
        <v>26.2</v>
      </c>
      <c r="E404" s="6" t="s">
        <v>479</v>
      </c>
    </row>
    <row r="405" spans="1:5" x14ac:dyDescent="0.25">
      <c r="A405" s="5" t="s">
        <v>280</v>
      </c>
      <c r="B405" s="6" t="s">
        <v>538</v>
      </c>
      <c r="C405" s="6" t="s">
        <v>669</v>
      </c>
      <c r="D405" s="6">
        <v>20</v>
      </c>
      <c r="E405" s="6" t="s">
        <v>543</v>
      </c>
    </row>
    <row r="406" spans="1:5" x14ac:dyDescent="0.25">
      <c r="A406" s="5" t="s">
        <v>280</v>
      </c>
      <c r="B406" s="6" t="s">
        <v>544</v>
      </c>
      <c r="C406" s="6" t="s">
        <v>759</v>
      </c>
      <c r="D406" s="6" t="s">
        <v>760</v>
      </c>
      <c r="E406" s="6" t="s">
        <v>2</v>
      </c>
    </row>
    <row r="407" spans="1:5" x14ac:dyDescent="0.25">
      <c r="A407" s="5" t="s">
        <v>285</v>
      </c>
      <c r="B407" s="6" t="s">
        <v>502</v>
      </c>
      <c r="C407" s="6" t="s">
        <v>647</v>
      </c>
      <c r="D407" s="6" t="s">
        <v>761</v>
      </c>
      <c r="E407" s="6" t="s">
        <v>2</v>
      </c>
    </row>
    <row r="408" spans="1:5" x14ac:dyDescent="0.25">
      <c r="A408" s="5" t="s">
        <v>285</v>
      </c>
      <c r="B408" s="6" t="s">
        <v>502</v>
      </c>
      <c r="C408" s="6" t="s">
        <v>762</v>
      </c>
      <c r="D408" s="6" t="s">
        <v>763</v>
      </c>
      <c r="E408" s="6" t="s">
        <v>2</v>
      </c>
    </row>
    <row r="409" spans="1:5" x14ac:dyDescent="0.25">
      <c r="A409" s="5" t="s">
        <v>285</v>
      </c>
      <c r="B409" s="6" t="s">
        <v>470</v>
      </c>
      <c r="C409" s="6" t="s">
        <v>764</v>
      </c>
      <c r="D409" s="6">
        <v>4500</v>
      </c>
      <c r="E409" s="6" t="s">
        <v>482</v>
      </c>
    </row>
    <row r="410" spans="1:5" x14ac:dyDescent="0.25">
      <c r="A410" s="5" t="s">
        <v>285</v>
      </c>
      <c r="B410" s="6" t="s">
        <v>470</v>
      </c>
      <c r="C410" s="6" t="s">
        <v>645</v>
      </c>
      <c r="D410" s="6" t="s">
        <v>765</v>
      </c>
      <c r="E410" s="6" t="s">
        <v>2</v>
      </c>
    </row>
    <row r="411" spans="1:5" x14ac:dyDescent="0.25">
      <c r="A411" s="5" t="s">
        <v>285</v>
      </c>
      <c r="B411" s="6" t="s">
        <v>511</v>
      </c>
      <c r="C411" s="6" t="s">
        <v>766</v>
      </c>
      <c r="D411" s="6" t="s">
        <v>767</v>
      </c>
      <c r="E411" s="6" t="s">
        <v>2</v>
      </c>
    </row>
    <row r="412" spans="1:5" x14ac:dyDescent="0.25">
      <c r="A412" s="5" t="s">
        <v>285</v>
      </c>
      <c r="B412" s="6" t="s">
        <v>511</v>
      </c>
      <c r="C412" s="6" t="s">
        <v>768</v>
      </c>
      <c r="D412" s="6" t="s">
        <v>769</v>
      </c>
      <c r="E412" s="6" t="s">
        <v>2</v>
      </c>
    </row>
    <row r="413" spans="1:5" x14ac:dyDescent="0.25">
      <c r="A413" s="5" t="s">
        <v>293</v>
      </c>
      <c r="B413" s="6" t="s">
        <v>470</v>
      </c>
      <c r="C413" s="6" t="s">
        <v>514</v>
      </c>
      <c r="D413" s="6" t="s">
        <v>616</v>
      </c>
      <c r="E413" s="6" t="s">
        <v>2</v>
      </c>
    </row>
    <row r="414" spans="1:5" x14ac:dyDescent="0.25">
      <c r="A414" s="5" t="s">
        <v>293</v>
      </c>
      <c r="B414" s="6" t="s">
        <v>470</v>
      </c>
      <c r="C414" s="6" t="s">
        <v>516</v>
      </c>
      <c r="D414" s="6">
        <v>20</v>
      </c>
      <c r="E414" s="6" t="s">
        <v>517</v>
      </c>
    </row>
    <row r="415" spans="1:5" x14ac:dyDescent="0.25">
      <c r="A415" s="5" t="s">
        <v>293</v>
      </c>
      <c r="B415" s="6" t="s">
        <v>470</v>
      </c>
      <c r="C415" s="6" t="s">
        <v>617</v>
      </c>
      <c r="D415" s="6">
        <v>1800</v>
      </c>
      <c r="E415" s="6" t="s">
        <v>482</v>
      </c>
    </row>
    <row r="416" spans="1:5" x14ac:dyDescent="0.25">
      <c r="A416" s="5" t="s">
        <v>293</v>
      </c>
      <c r="B416" s="6" t="s">
        <v>470</v>
      </c>
      <c r="C416" s="6" t="s">
        <v>609</v>
      </c>
      <c r="D416" s="6" t="s">
        <v>649</v>
      </c>
      <c r="E416" s="6" t="s">
        <v>482</v>
      </c>
    </row>
    <row r="417" spans="1:5" x14ac:dyDescent="0.25">
      <c r="A417" s="5" t="s">
        <v>293</v>
      </c>
      <c r="B417" s="6" t="s">
        <v>470</v>
      </c>
      <c r="C417" s="6" t="s">
        <v>619</v>
      </c>
      <c r="D417" s="6">
        <v>244</v>
      </c>
      <c r="E417" s="6" t="s">
        <v>517</v>
      </c>
    </row>
    <row r="418" spans="1:5" x14ac:dyDescent="0.25">
      <c r="A418" s="5" t="s">
        <v>293</v>
      </c>
      <c r="B418" s="6" t="s">
        <v>620</v>
      </c>
      <c r="C418" s="6" t="s">
        <v>621</v>
      </c>
      <c r="D418" s="6" t="s">
        <v>650</v>
      </c>
      <c r="E418" s="6" t="s">
        <v>623</v>
      </c>
    </row>
    <row r="419" spans="1:5" x14ac:dyDescent="0.25">
      <c r="A419" s="5" t="s">
        <v>293</v>
      </c>
      <c r="B419" s="6" t="s">
        <v>620</v>
      </c>
      <c r="C419" s="6" t="s">
        <v>624</v>
      </c>
      <c r="D419" s="6" t="s">
        <v>651</v>
      </c>
      <c r="E419" s="6" t="s">
        <v>623</v>
      </c>
    </row>
    <row r="420" spans="1:5" x14ac:dyDescent="0.25">
      <c r="A420" s="5" t="s">
        <v>293</v>
      </c>
      <c r="B420" s="6" t="s">
        <v>512</v>
      </c>
      <c r="C420" s="6" t="s">
        <v>512</v>
      </c>
      <c r="D420" s="6" t="s">
        <v>626</v>
      </c>
      <c r="E420" s="6" t="s">
        <v>2</v>
      </c>
    </row>
    <row r="421" spans="1:5" x14ac:dyDescent="0.25">
      <c r="A421" s="5" t="s">
        <v>293</v>
      </c>
      <c r="B421" s="6" t="s">
        <v>527</v>
      </c>
      <c r="C421" s="6" t="s">
        <v>627</v>
      </c>
      <c r="D421" s="6" t="s">
        <v>770</v>
      </c>
      <c r="E421" s="6" t="s">
        <v>2</v>
      </c>
    </row>
    <row r="422" spans="1:5" x14ac:dyDescent="0.25">
      <c r="A422" s="5" t="s">
        <v>293</v>
      </c>
      <c r="B422" s="6" t="s">
        <v>498</v>
      </c>
      <c r="C422" s="6" t="s">
        <v>629</v>
      </c>
      <c r="D422" s="6">
        <v>1.5</v>
      </c>
      <c r="E422" s="6" t="s">
        <v>500</v>
      </c>
    </row>
    <row r="423" spans="1:5" x14ac:dyDescent="0.25">
      <c r="A423" s="5" t="s">
        <v>298</v>
      </c>
      <c r="B423" s="6" t="s">
        <v>502</v>
      </c>
      <c r="C423" s="6" t="s">
        <v>647</v>
      </c>
      <c r="D423" s="6" t="s">
        <v>771</v>
      </c>
      <c r="E423" s="6" t="s">
        <v>2</v>
      </c>
    </row>
    <row r="424" spans="1:5" x14ac:dyDescent="0.25">
      <c r="A424" s="5" t="s">
        <v>298</v>
      </c>
      <c r="B424" s="6" t="s">
        <v>502</v>
      </c>
      <c r="C424" s="6" t="s">
        <v>772</v>
      </c>
      <c r="D424" s="6" t="s">
        <v>773</v>
      </c>
      <c r="E424" s="6" t="s">
        <v>2</v>
      </c>
    </row>
    <row r="425" spans="1:5" x14ac:dyDescent="0.25">
      <c r="A425" s="5" t="s">
        <v>298</v>
      </c>
      <c r="B425" s="6" t="s">
        <v>470</v>
      </c>
      <c r="C425" s="6" t="s">
        <v>764</v>
      </c>
      <c r="D425" s="6">
        <v>4500</v>
      </c>
      <c r="E425" s="6" t="s">
        <v>482</v>
      </c>
    </row>
    <row r="426" spans="1:5" x14ac:dyDescent="0.25">
      <c r="A426" s="5" t="s">
        <v>298</v>
      </c>
      <c r="B426" s="6" t="s">
        <v>470</v>
      </c>
      <c r="C426" s="6" t="s">
        <v>645</v>
      </c>
      <c r="D426" s="6" t="s">
        <v>765</v>
      </c>
      <c r="E426" s="6" t="s">
        <v>2</v>
      </c>
    </row>
    <row r="427" spans="1:5" x14ac:dyDescent="0.25">
      <c r="A427" s="5" t="s">
        <v>298</v>
      </c>
      <c r="B427" s="6" t="s">
        <v>511</v>
      </c>
      <c r="C427" s="6" t="s">
        <v>766</v>
      </c>
      <c r="D427" s="6" t="s">
        <v>767</v>
      </c>
      <c r="E427" s="6" t="s">
        <v>2</v>
      </c>
    </row>
    <row r="428" spans="1:5" x14ac:dyDescent="0.25">
      <c r="A428" s="5" t="s">
        <v>298</v>
      </c>
      <c r="B428" s="6" t="s">
        <v>511</v>
      </c>
      <c r="C428" s="6" t="s">
        <v>768</v>
      </c>
      <c r="D428" s="6" t="s">
        <v>769</v>
      </c>
      <c r="E428" s="6" t="s">
        <v>2</v>
      </c>
    </row>
    <row r="429" spans="1:5" x14ac:dyDescent="0.25">
      <c r="A429" s="5" t="s">
        <v>303</v>
      </c>
      <c r="B429" s="6" t="s">
        <v>470</v>
      </c>
      <c r="C429" s="6" t="s">
        <v>514</v>
      </c>
      <c r="D429" s="6" t="s">
        <v>774</v>
      </c>
      <c r="E429" s="6" t="s">
        <v>2</v>
      </c>
    </row>
    <row r="430" spans="1:5" x14ac:dyDescent="0.25">
      <c r="A430" s="5" t="s">
        <v>303</v>
      </c>
      <c r="B430" s="6" t="s">
        <v>470</v>
      </c>
      <c r="C430" s="6" t="s">
        <v>516</v>
      </c>
      <c r="D430" s="6">
        <v>6</v>
      </c>
      <c r="E430" s="6" t="s">
        <v>517</v>
      </c>
    </row>
    <row r="431" spans="1:5" x14ac:dyDescent="0.25">
      <c r="A431" s="5" t="s">
        <v>303</v>
      </c>
      <c r="B431" s="6" t="s">
        <v>470</v>
      </c>
      <c r="C431" s="6" t="s">
        <v>775</v>
      </c>
      <c r="D431" s="6">
        <v>600</v>
      </c>
      <c r="E431" s="6" t="s">
        <v>482</v>
      </c>
    </row>
    <row r="432" spans="1:5" x14ac:dyDescent="0.25">
      <c r="A432" s="5" t="s">
        <v>303</v>
      </c>
      <c r="B432" s="6" t="s">
        <v>522</v>
      </c>
      <c r="C432" s="6" t="s">
        <v>776</v>
      </c>
      <c r="D432" s="6">
        <v>0.36</v>
      </c>
      <c r="E432" s="6" t="s">
        <v>526</v>
      </c>
    </row>
    <row r="433" spans="1:5" x14ac:dyDescent="0.25">
      <c r="A433" s="5" t="s">
        <v>303</v>
      </c>
      <c r="B433" s="6" t="s">
        <v>522</v>
      </c>
      <c r="C433" s="6" t="s">
        <v>609</v>
      </c>
      <c r="D433" s="6" t="s">
        <v>777</v>
      </c>
      <c r="E433" s="6" t="s">
        <v>482</v>
      </c>
    </row>
    <row r="434" spans="1:5" x14ac:dyDescent="0.25">
      <c r="A434" s="5" t="s">
        <v>303</v>
      </c>
      <c r="B434" s="6" t="s">
        <v>527</v>
      </c>
      <c r="C434" s="6" t="s">
        <v>627</v>
      </c>
      <c r="D434" s="6" t="s">
        <v>778</v>
      </c>
      <c r="E434" s="6" t="s">
        <v>2</v>
      </c>
    </row>
    <row r="435" spans="1:5" x14ac:dyDescent="0.25">
      <c r="A435" s="5" t="s">
        <v>309</v>
      </c>
      <c r="B435" s="6" t="s">
        <v>502</v>
      </c>
      <c r="C435" s="6" t="s">
        <v>647</v>
      </c>
      <c r="D435" s="6" t="s">
        <v>779</v>
      </c>
      <c r="E435" s="6" t="s">
        <v>2</v>
      </c>
    </row>
    <row r="436" spans="1:5" x14ac:dyDescent="0.25">
      <c r="A436" s="5" t="s">
        <v>309</v>
      </c>
      <c r="B436" s="6" t="s">
        <v>502</v>
      </c>
      <c r="C436" s="6" t="s">
        <v>780</v>
      </c>
      <c r="D436" s="6" t="s">
        <v>781</v>
      </c>
      <c r="E436" s="6" t="s">
        <v>2</v>
      </c>
    </row>
    <row r="437" spans="1:5" x14ac:dyDescent="0.25">
      <c r="A437" s="5" t="s">
        <v>309</v>
      </c>
      <c r="B437" s="6" t="s">
        <v>470</v>
      </c>
      <c r="C437" s="6" t="s">
        <v>764</v>
      </c>
      <c r="D437" s="6">
        <v>4500</v>
      </c>
      <c r="E437" s="6" t="s">
        <v>482</v>
      </c>
    </row>
    <row r="438" spans="1:5" x14ac:dyDescent="0.25">
      <c r="A438" s="5" t="s">
        <v>309</v>
      </c>
      <c r="B438" s="6" t="s">
        <v>470</v>
      </c>
      <c r="C438" s="6" t="s">
        <v>645</v>
      </c>
      <c r="D438" s="6" t="s">
        <v>765</v>
      </c>
      <c r="E438" s="6" t="s">
        <v>2</v>
      </c>
    </row>
    <row r="439" spans="1:5" x14ac:dyDescent="0.25">
      <c r="A439" s="5" t="s">
        <v>309</v>
      </c>
      <c r="B439" s="6" t="s">
        <v>511</v>
      </c>
      <c r="C439" s="6" t="s">
        <v>766</v>
      </c>
      <c r="D439" s="6" t="s">
        <v>767</v>
      </c>
      <c r="E439" s="6" t="s">
        <v>2</v>
      </c>
    </row>
    <row r="440" spans="1:5" x14ac:dyDescent="0.25">
      <c r="A440" s="5" t="s">
        <v>309</v>
      </c>
      <c r="B440" s="6" t="s">
        <v>511</v>
      </c>
      <c r="C440" s="6" t="s">
        <v>768</v>
      </c>
      <c r="D440" s="6" t="s">
        <v>769</v>
      </c>
      <c r="E440" s="6" t="s">
        <v>2</v>
      </c>
    </row>
    <row r="441" spans="1:5" x14ac:dyDescent="0.25">
      <c r="A441" s="5" t="s">
        <v>314</v>
      </c>
      <c r="B441" s="6" t="s">
        <v>470</v>
      </c>
      <c r="C441" s="6" t="s">
        <v>514</v>
      </c>
      <c r="D441" s="6" t="s">
        <v>616</v>
      </c>
      <c r="E441" s="6" t="s">
        <v>2</v>
      </c>
    </row>
    <row r="442" spans="1:5" x14ac:dyDescent="0.25">
      <c r="A442" s="5" t="s">
        <v>314</v>
      </c>
      <c r="B442" s="6" t="s">
        <v>470</v>
      </c>
      <c r="C442" s="6" t="s">
        <v>516</v>
      </c>
      <c r="D442" s="6">
        <v>20</v>
      </c>
      <c r="E442" s="6" t="s">
        <v>517</v>
      </c>
    </row>
    <row r="443" spans="1:5" x14ac:dyDescent="0.25">
      <c r="A443" s="5" t="s">
        <v>314</v>
      </c>
      <c r="B443" s="6" t="s">
        <v>470</v>
      </c>
      <c r="C443" s="6" t="s">
        <v>617</v>
      </c>
      <c r="D443" s="6">
        <v>1800</v>
      </c>
      <c r="E443" s="6" t="s">
        <v>482</v>
      </c>
    </row>
    <row r="444" spans="1:5" x14ac:dyDescent="0.25">
      <c r="A444" s="5" t="s">
        <v>314</v>
      </c>
      <c r="B444" s="6" t="s">
        <v>470</v>
      </c>
      <c r="C444" s="6" t="s">
        <v>609</v>
      </c>
      <c r="D444" s="6" t="s">
        <v>649</v>
      </c>
      <c r="E444" s="6" t="s">
        <v>482</v>
      </c>
    </row>
    <row r="445" spans="1:5" x14ac:dyDescent="0.25">
      <c r="A445" s="5" t="s">
        <v>314</v>
      </c>
      <c r="B445" s="6" t="s">
        <v>470</v>
      </c>
      <c r="C445" s="6" t="s">
        <v>619</v>
      </c>
      <c r="D445" s="6">
        <v>244</v>
      </c>
      <c r="E445" s="6" t="s">
        <v>517</v>
      </c>
    </row>
    <row r="446" spans="1:5" x14ac:dyDescent="0.25">
      <c r="A446" s="5" t="s">
        <v>314</v>
      </c>
      <c r="B446" s="6" t="s">
        <v>620</v>
      </c>
      <c r="C446" s="6" t="s">
        <v>621</v>
      </c>
      <c r="D446" s="6" t="s">
        <v>650</v>
      </c>
      <c r="E446" s="6" t="s">
        <v>623</v>
      </c>
    </row>
    <row r="447" spans="1:5" x14ac:dyDescent="0.25">
      <c r="A447" s="5" t="s">
        <v>314</v>
      </c>
      <c r="B447" s="6" t="s">
        <v>620</v>
      </c>
      <c r="C447" s="6" t="s">
        <v>624</v>
      </c>
      <c r="D447" s="6" t="s">
        <v>651</v>
      </c>
      <c r="E447" s="6" t="s">
        <v>623</v>
      </c>
    </row>
    <row r="448" spans="1:5" x14ac:dyDescent="0.25">
      <c r="A448" s="5" t="s">
        <v>314</v>
      </c>
      <c r="B448" s="6" t="s">
        <v>512</v>
      </c>
      <c r="C448" s="6" t="s">
        <v>512</v>
      </c>
      <c r="D448" s="6" t="s">
        <v>626</v>
      </c>
      <c r="E448" s="6" t="s">
        <v>2</v>
      </c>
    </row>
    <row r="449" spans="1:5" x14ac:dyDescent="0.25">
      <c r="A449" s="5" t="s">
        <v>314</v>
      </c>
      <c r="B449" s="6" t="s">
        <v>527</v>
      </c>
      <c r="C449" s="6" t="s">
        <v>627</v>
      </c>
      <c r="D449" s="6" t="s">
        <v>782</v>
      </c>
      <c r="E449" s="6" t="s">
        <v>2</v>
      </c>
    </row>
    <row r="450" spans="1:5" x14ac:dyDescent="0.25">
      <c r="A450" s="5" t="s">
        <v>314</v>
      </c>
      <c r="B450" s="6" t="s">
        <v>498</v>
      </c>
      <c r="C450" s="6" t="s">
        <v>629</v>
      </c>
      <c r="D450" s="6">
        <v>1.5</v>
      </c>
      <c r="E450" s="6" t="s">
        <v>500</v>
      </c>
    </row>
    <row r="451" spans="1:5" x14ac:dyDescent="0.25">
      <c r="A451" s="5" t="s">
        <v>318</v>
      </c>
      <c r="B451" s="6" t="s">
        <v>502</v>
      </c>
      <c r="C451" s="6" t="s">
        <v>647</v>
      </c>
      <c r="D451" s="6" t="s">
        <v>783</v>
      </c>
      <c r="E451" s="6" t="s">
        <v>2</v>
      </c>
    </row>
    <row r="452" spans="1:5" x14ac:dyDescent="0.25">
      <c r="A452" s="5" t="s">
        <v>318</v>
      </c>
      <c r="B452" s="6" t="s">
        <v>502</v>
      </c>
      <c r="C452" s="6" t="s">
        <v>784</v>
      </c>
      <c r="D452" s="6" t="s">
        <v>785</v>
      </c>
      <c r="E452" s="6" t="s">
        <v>2</v>
      </c>
    </row>
    <row r="453" spans="1:5" x14ac:dyDescent="0.25">
      <c r="A453" s="5" t="s">
        <v>318</v>
      </c>
      <c r="B453" s="6" t="s">
        <v>502</v>
      </c>
      <c r="C453" s="6" t="s">
        <v>762</v>
      </c>
      <c r="D453" s="6" t="s">
        <v>786</v>
      </c>
      <c r="E453" s="6" t="s">
        <v>2</v>
      </c>
    </row>
    <row r="454" spans="1:5" x14ac:dyDescent="0.25">
      <c r="A454" s="5" t="s">
        <v>318</v>
      </c>
      <c r="B454" s="6" t="s">
        <v>470</v>
      </c>
      <c r="C454" s="6" t="s">
        <v>764</v>
      </c>
      <c r="D454" s="6">
        <v>4500</v>
      </c>
      <c r="E454" s="6" t="s">
        <v>482</v>
      </c>
    </row>
    <row r="455" spans="1:5" x14ac:dyDescent="0.25">
      <c r="A455" s="5" t="s">
        <v>318</v>
      </c>
      <c r="B455" s="6" t="s">
        <v>470</v>
      </c>
      <c r="C455" s="6" t="s">
        <v>645</v>
      </c>
      <c r="D455" s="6" t="s">
        <v>765</v>
      </c>
      <c r="E455" s="6" t="s">
        <v>2</v>
      </c>
    </row>
    <row r="456" spans="1:5" x14ac:dyDescent="0.25">
      <c r="A456" s="5" t="s">
        <v>318</v>
      </c>
      <c r="B456" s="6" t="s">
        <v>511</v>
      </c>
      <c r="C456" s="6" t="s">
        <v>766</v>
      </c>
      <c r="D456" s="6" t="s">
        <v>767</v>
      </c>
      <c r="E456" s="6" t="s">
        <v>2</v>
      </c>
    </row>
    <row r="457" spans="1:5" x14ac:dyDescent="0.25">
      <c r="A457" s="5" t="s">
        <v>318</v>
      </c>
      <c r="B457" s="6" t="s">
        <v>511</v>
      </c>
      <c r="C457" s="6" t="s">
        <v>768</v>
      </c>
      <c r="D457" s="6" t="s">
        <v>769</v>
      </c>
      <c r="E457" s="6" t="s">
        <v>2</v>
      </c>
    </row>
    <row r="458" spans="1:5" x14ac:dyDescent="0.25">
      <c r="A458" s="5" t="s">
        <v>323</v>
      </c>
      <c r="B458" s="6" t="s">
        <v>502</v>
      </c>
      <c r="C458" s="6" t="s">
        <v>647</v>
      </c>
      <c r="D458" s="6" t="s">
        <v>787</v>
      </c>
      <c r="E458" s="6" t="s">
        <v>2</v>
      </c>
    </row>
    <row r="459" spans="1:5" x14ac:dyDescent="0.25">
      <c r="A459" s="5" t="s">
        <v>323</v>
      </c>
      <c r="B459" s="6" t="s">
        <v>788</v>
      </c>
      <c r="C459" s="6" t="s">
        <v>789</v>
      </c>
      <c r="D459" s="6" t="s">
        <v>790</v>
      </c>
      <c r="E459" s="6" t="s">
        <v>2</v>
      </c>
    </row>
    <row r="460" spans="1:5" x14ac:dyDescent="0.25">
      <c r="A460" s="5" t="s">
        <v>323</v>
      </c>
      <c r="B460" s="6" t="s">
        <v>788</v>
      </c>
      <c r="C460" s="6" t="s">
        <v>791</v>
      </c>
      <c r="D460" s="6" t="s">
        <v>792</v>
      </c>
      <c r="E460" s="6" t="s">
        <v>2</v>
      </c>
    </row>
    <row r="461" spans="1:5" x14ac:dyDescent="0.25">
      <c r="A461" s="5" t="s">
        <v>323</v>
      </c>
      <c r="B461" s="6" t="s">
        <v>793</v>
      </c>
      <c r="C461" s="6" t="s">
        <v>794</v>
      </c>
      <c r="D461" s="6" t="s">
        <v>795</v>
      </c>
      <c r="E461" s="6" t="s">
        <v>2</v>
      </c>
    </row>
    <row r="462" spans="1:5" x14ac:dyDescent="0.25">
      <c r="A462" s="5" t="s">
        <v>323</v>
      </c>
      <c r="B462" s="6" t="s">
        <v>470</v>
      </c>
      <c r="C462" s="6" t="s">
        <v>764</v>
      </c>
      <c r="D462" s="6">
        <v>4500</v>
      </c>
      <c r="E462" s="6" t="s">
        <v>482</v>
      </c>
    </row>
    <row r="463" spans="1:5" x14ac:dyDescent="0.25">
      <c r="A463" s="5" t="s">
        <v>323</v>
      </c>
      <c r="B463" s="6" t="s">
        <v>470</v>
      </c>
      <c r="C463" s="6" t="s">
        <v>645</v>
      </c>
      <c r="D463" s="6" t="s">
        <v>765</v>
      </c>
      <c r="E463" s="6" t="s">
        <v>2</v>
      </c>
    </row>
    <row r="464" spans="1:5" x14ac:dyDescent="0.25">
      <c r="A464" s="5" t="s">
        <v>323</v>
      </c>
      <c r="B464" s="6" t="s">
        <v>511</v>
      </c>
      <c r="C464" s="6" t="s">
        <v>766</v>
      </c>
      <c r="D464" s="6" t="s">
        <v>767</v>
      </c>
      <c r="E464" s="6" t="s">
        <v>2</v>
      </c>
    </row>
    <row r="465" spans="1:5" x14ac:dyDescent="0.25">
      <c r="A465" s="5" t="s">
        <v>323</v>
      </c>
      <c r="B465" s="6" t="s">
        <v>511</v>
      </c>
      <c r="C465" s="6" t="s">
        <v>768</v>
      </c>
      <c r="D465" s="6" t="s">
        <v>769</v>
      </c>
      <c r="E465" s="6" t="s">
        <v>2</v>
      </c>
    </row>
    <row r="466" spans="1:5" x14ac:dyDescent="0.25">
      <c r="A466" s="5" t="s">
        <v>330</v>
      </c>
      <c r="B466" s="6" t="s">
        <v>502</v>
      </c>
      <c r="C466" s="6" t="s">
        <v>647</v>
      </c>
      <c r="D466" s="6" t="s">
        <v>796</v>
      </c>
      <c r="E466" s="6" t="s">
        <v>2</v>
      </c>
    </row>
    <row r="467" spans="1:5" x14ac:dyDescent="0.25">
      <c r="A467" s="5" t="s">
        <v>330</v>
      </c>
      <c r="B467" s="6" t="s">
        <v>788</v>
      </c>
      <c r="C467" s="6" t="s">
        <v>797</v>
      </c>
      <c r="D467" s="6" t="s">
        <v>798</v>
      </c>
      <c r="E467" s="6" t="s">
        <v>2</v>
      </c>
    </row>
    <row r="468" spans="1:5" x14ac:dyDescent="0.25">
      <c r="A468" s="5" t="s">
        <v>330</v>
      </c>
      <c r="B468" s="6" t="s">
        <v>470</v>
      </c>
      <c r="C468" s="6" t="s">
        <v>764</v>
      </c>
      <c r="D468" s="6">
        <v>4500</v>
      </c>
      <c r="E468" s="6" t="s">
        <v>482</v>
      </c>
    </row>
    <row r="469" spans="1:5" x14ac:dyDescent="0.25">
      <c r="A469" s="5" t="s">
        <v>330</v>
      </c>
      <c r="B469" s="6" t="s">
        <v>470</v>
      </c>
      <c r="C469" s="6" t="s">
        <v>645</v>
      </c>
      <c r="D469" s="6" t="s">
        <v>765</v>
      </c>
      <c r="E469" s="6" t="s">
        <v>2</v>
      </c>
    </row>
    <row r="470" spans="1:5" x14ac:dyDescent="0.25">
      <c r="A470" s="5" t="s">
        <v>330</v>
      </c>
      <c r="B470" s="6" t="s">
        <v>511</v>
      </c>
      <c r="C470" s="6" t="s">
        <v>766</v>
      </c>
      <c r="D470" s="6" t="s">
        <v>767</v>
      </c>
      <c r="E470" s="6" t="s">
        <v>2</v>
      </c>
    </row>
    <row r="471" spans="1:5" x14ac:dyDescent="0.25">
      <c r="A471" s="5" t="s">
        <v>330</v>
      </c>
      <c r="B471" s="6" t="s">
        <v>511</v>
      </c>
      <c r="C471" s="6" t="s">
        <v>768</v>
      </c>
      <c r="D471" s="6" t="s">
        <v>769</v>
      </c>
      <c r="E471" s="6" t="s">
        <v>2</v>
      </c>
    </row>
    <row r="472" spans="1:5" x14ac:dyDescent="0.25">
      <c r="A472" s="5" t="s">
        <v>335</v>
      </c>
      <c r="B472" s="6" t="s">
        <v>470</v>
      </c>
      <c r="C472" s="6" t="s">
        <v>514</v>
      </c>
      <c r="D472" s="6" t="s">
        <v>799</v>
      </c>
      <c r="E472" s="6" t="s">
        <v>2</v>
      </c>
    </row>
    <row r="473" spans="1:5" x14ac:dyDescent="0.25">
      <c r="A473" s="5" t="s">
        <v>335</v>
      </c>
      <c r="B473" s="6" t="s">
        <v>470</v>
      </c>
      <c r="C473" s="6" t="s">
        <v>516</v>
      </c>
      <c r="D473" s="6">
        <v>10</v>
      </c>
      <c r="E473" s="6" t="s">
        <v>517</v>
      </c>
    </row>
    <row r="474" spans="1:5" x14ac:dyDescent="0.25">
      <c r="A474" s="5" t="s">
        <v>335</v>
      </c>
      <c r="B474" s="6" t="s">
        <v>470</v>
      </c>
      <c r="C474" s="6" t="s">
        <v>775</v>
      </c>
      <c r="D474" s="6">
        <v>1300</v>
      </c>
      <c r="E474" s="6" t="s">
        <v>482</v>
      </c>
    </row>
    <row r="475" spans="1:5" x14ac:dyDescent="0.25">
      <c r="A475" s="5" t="s">
        <v>335</v>
      </c>
      <c r="B475" s="6" t="s">
        <v>522</v>
      </c>
      <c r="C475" s="6" t="s">
        <v>609</v>
      </c>
      <c r="D475" s="6" t="s">
        <v>578</v>
      </c>
      <c r="E475" s="6" t="s">
        <v>482</v>
      </c>
    </row>
    <row r="476" spans="1:5" x14ac:dyDescent="0.25">
      <c r="A476" s="5" t="s">
        <v>335</v>
      </c>
      <c r="B476" s="6" t="s">
        <v>644</v>
      </c>
      <c r="C476" s="6" t="s">
        <v>800</v>
      </c>
      <c r="D476" s="6" t="s">
        <v>801</v>
      </c>
      <c r="E476" s="6" t="s">
        <v>2</v>
      </c>
    </row>
    <row r="477" spans="1:5" x14ac:dyDescent="0.25">
      <c r="A477" s="5" t="s">
        <v>335</v>
      </c>
      <c r="B477" s="6" t="s">
        <v>527</v>
      </c>
      <c r="C477" s="6" t="s">
        <v>627</v>
      </c>
      <c r="D477" s="6" t="s">
        <v>802</v>
      </c>
      <c r="E477" s="6" t="s">
        <v>2</v>
      </c>
    </row>
    <row r="478" spans="1:5" x14ac:dyDescent="0.25">
      <c r="A478" s="5" t="s">
        <v>341</v>
      </c>
      <c r="B478" s="6" t="s">
        <v>502</v>
      </c>
      <c r="C478" s="6" t="s">
        <v>647</v>
      </c>
      <c r="D478" s="6" t="s">
        <v>803</v>
      </c>
      <c r="E478" s="6" t="s">
        <v>2</v>
      </c>
    </row>
    <row r="479" spans="1:5" x14ac:dyDescent="0.25">
      <c r="A479" s="5" t="s">
        <v>341</v>
      </c>
      <c r="B479" s="6" t="s">
        <v>502</v>
      </c>
      <c r="C479" s="6" t="s">
        <v>804</v>
      </c>
      <c r="D479" s="6" t="s">
        <v>805</v>
      </c>
      <c r="E479" s="6" t="s">
        <v>2</v>
      </c>
    </row>
    <row r="480" spans="1:5" x14ac:dyDescent="0.25">
      <c r="A480" s="5" t="s">
        <v>341</v>
      </c>
      <c r="B480" s="6" t="s">
        <v>470</v>
      </c>
      <c r="C480" s="6" t="s">
        <v>764</v>
      </c>
      <c r="D480" s="6">
        <v>4500</v>
      </c>
      <c r="E480" s="6" t="s">
        <v>482</v>
      </c>
    </row>
    <row r="481" spans="1:5" x14ac:dyDescent="0.25">
      <c r="A481" s="5" t="s">
        <v>341</v>
      </c>
      <c r="B481" s="6" t="s">
        <v>470</v>
      </c>
      <c r="C481" s="6" t="s">
        <v>645</v>
      </c>
      <c r="D481" s="6" t="s">
        <v>765</v>
      </c>
      <c r="E481" s="6" t="s">
        <v>2</v>
      </c>
    </row>
    <row r="482" spans="1:5" x14ac:dyDescent="0.25">
      <c r="A482" s="5" t="s">
        <v>341</v>
      </c>
      <c r="B482" s="6" t="s">
        <v>511</v>
      </c>
      <c r="C482" s="6" t="s">
        <v>766</v>
      </c>
      <c r="D482" s="6" t="s">
        <v>767</v>
      </c>
      <c r="E482" s="6" t="s">
        <v>2</v>
      </c>
    </row>
    <row r="483" spans="1:5" x14ac:dyDescent="0.25">
      <c r="A483" s="5" t="s">
        <v>341</v>
      </c>
      <c r="B483" s="6" t="s">
        <v>511</v>
      </c>
      <c r="C483" s="6" t="s">
        <v>768</v>
      </c>
      <c r="D483" s="6" t="s">
        <v>769</v>
      </c>
      <c r="E483" s="6" t="s">
        <v>2</v>
      </c>
    </row>
    <row r="484" spans="1:5" x14ac:dyDescent="0.25">
      <c r="A484" s="5" t="s">
        <v>346</v>
      </c>
      <c r="B484" s="6" t="s">
        <v>470</v>
      </c>
      <c r="C484" s="6" t="s">
        <v>514</v>
      </c>
      <c r="D484" s="6" t="s">
        <v>616</v>
      </c>
      <c r="E484" s="6" t="s">
        <v>2</v>
      </c>
    </row>
    <row r="485" spans="1:5" x14ac:dyDescent="0.25">
      <c r="A485" s="5" t="s">
        <v>346</v>
      </c>
      <c r="B485" s="6" t="s">
        <v>470</v>
      </c>
      <c r="C485" s="6" t="s">
        <v>516</v>
      </c>
      <c r="D485" s="6">
        <v>20</v>
      </c>
      <c r="E485" s="6" t="s">
        <v>517</v>
      </c>
    </row>
    <row r="486" spans="1:5" x14ac:dyDescent="0.25">
      <c r="A486" s="5" t="s">
        <v>346</v>
      </c>
      <c r="B486" s="6" t="s">
        <v>470</v>
      </c>
      <c r="C486" s="6" t="s">
        <v>617</v>
      </c>
      <c r="D486" s="6">
        <v>1800</v>
      </c>
      <c r="E486" s="6" t="s">
        <v>482</v>
      </c>
    </row>
    <row r="487" spans="1:5" x14ac:dyDescent="0.25">
      <c r="A487" s="5" t="s">
        <v>346</v>
      </c>
      <c r="B487" s="6" t="s">
        <v>470</v>
      </c>
      <c r="C487" s="6" t="s">
        <v>609</v>
      </c>
      <c r="D487" s="6" t="s">
        <v>649</v>
      </c>
      <c r="E487" s="6" t="s">
        <v>482</v>
      </c>
    </row>
    <row r="488" spans="1:5" x14ac:dyDescent="0.25">
      <c r="A488" s="5" t="s">
        <v>346</v>
      </c>
      <c r="B488" s="6" t="s">
        <v>470</v>
      </c>
      <c r="C488" s="6" t="s">
        <v>619</v>
      </c>
      <c r="D488" s="6">
        <v>244</v>
      </c>
      <c r="E488" s="6" t="s">
        <v>517</v>
      </c>
    </row>
    <row r="489" spans="1:5" x14ac:dyDescent="0.25">
      <c r="A489" s="5" t="s">
        <v>346</v>
      </c>
      <c r="B489" s="6" t="s">
        <v>620</v>
      </c>
      <c r="C489" s="6" t="s">
        <v>621</v>
      </c>
      <c r="D489" s="6" t="s">
        <v>650</v>
      </c>
      <c r="E489" s="6" t="s">
        <v>623</v>
      </c>
    </row>
    <row r="490" spans="1:5" x14ac:dyDescent="0.25">
      <c r="A490" s="5" t="s">
        <v>346</v>
      </c>
      <c r="B490" s="6" t="s">
        <v>620</v>
      </c>
      <c r="C490" s="6" t="s">
        <v>624</v>
      </c>
      <c r="D490" s="6" t="s">
        <v>651</v>
      </c>
      <c r="E490" s="6" t="s">
        <v>623</v>
      </c>
    </row>
    <row r="491" spans="1:5" x14ac:dyDescent="0.25">
      <c r="A491" s="5" t="s">
        <v>346</v>
      </c>
      <c r="B491" s="6" t="s">
        <v>512</v>
      </c>
      <c r="C491" s="6" t="s">
        <v>512</v>
      </c>
      <c r="D491" s="6" t="s">
        <v>626</v>
      </c>
      <c r="E491" s="6" t="s">
        <v>2</v>
      </c>
    </row>
    <row r="492" spans="1:5" x14ac:dyDescent="0.25">
      <c r="A492" s="5" t="s">
        <v>346</v>
      </c>
      <c r="B492" s="6" t="s">
        <v>527</v>
      </c>
      <c r="C492" s="6" t="s">
        <v>627</v>
      </c>
      <c r="D492" s="6" t="s">
        <v>770</v>
      </c>
      <c r="E492" s="6" t="s">
        <v>2</v>
      </c>
    </row>
    <row r="493" spans="1:5" x14ac:dyDescent="0.25">
      <c r="A493" s="5" t="s">
        <v>346</v>
      </c>
      <c r="B493" s="6" t="s">
        <v>498</v>
      </c>
      <c r="C493" s="6" t="s">
        <v>629</v>
      </c>
      <c r="D493" s="6">
        <v>1.5</v>
      </c>
      <c r="E493" s="6" t="s">
        <v>500</v>
      </c>
    </row>
    <row r="494" spans="1:5" x14ac:dyDescent="0.25">
      <c r="A494" s="5" t="s">
        <v>350</v>
      </c>
      <c r="B494" s="6" t="s">
        <v>470</v>
      </c>
      <c r="C494" s="6" t="s">
        <v>514</v>
      </c>
      <c r="D494" s="6" t="s">
        <v>806</v>
      </c>
      <c r="E494" s="6" t="s">
        <v>2</v>
      </c>
    </row>
    <row r="495" spans="1:5" x14ac:dyDescent="0.25">
      <c r="A495" s="5" t="s">
        <v>350</v>
      </c>
      <c r="B495" s="6" t="s">
        <v>470</v>
      </c>
      <c r="C495" s="6" t="s">
        <v>516</v>
      </c>
      <c r="D495" s="6">
        <v>180</v>
      </c>
      <c r="E495" s="6" t="s">
        <v>517</v>
      </c>
    </row>
    <row r="496" spans="1:5" x14ac:dyDescent="0.25">
      <c r="A496" s="5" t="s">
        <v>350</v>
      </c>
      <c r="B496" s="6" t="s">
        <v>470</v>
      </c>
      <c r="C496" s="6" t="s">
        <v>775</v>
      </c>
      <c r="D496" s="6">
        <v>3150</v>
      </c>
      <c r="E496" s="6" t="s">
        <v>482</v>
      </c>
    </row>
    <row r="497" spans="1:5" x14ac:dyDescent="0.25">
      <c r="A497" s="5" t="s">
        <v>350</v>
      </c>
      <c r="B497" s="6" t="s">
        <v>522</v>
      </c>
      <c r="C497" s="6" t="s">
        <v>807</v>
      </c>
      <c r="D497" s="6">
        <v>1200</v>
      </c>
      <c r="E497" s="6" t="s">
        <v>701</v>
      </c>
    </row>
    <row r="498" spans="1:5" x14ac:dyDescent="0.25">
      <c r="A498" s="5" t="s">
        <v>350</v>
      </c>
      <c r="B498" s="6" t="s">
        <v>808</v>
      </c>
      <c r="C498" s="6" t="s">
        <v>809</v>
      </c>
      <c r="D498" s="6" t="s">
        <v>810</v>
      </c>
      <c r="E498" s="6" t="s">
        <v>2</v>
      </c>
    </row>
    <row r="499" spans="1:5" x14ac:dyDescent="0.25">
      <c r="A499" s="5" t="s">
        <v>350</v>
      </c>
      <c r="B499" s="6" t="s">
        <v>527</v>
      </c>
      <c r="C499" s="6" t="s">
        <v>811</v>
      </c>
      <c r="D499" s="6" t="s">
        <v>812</v>
      </c>
      <c r="E499" s="6" t="s">
        <v>2</v>
      </c>
    </row>
    <row r="500" spans="1:5" x14ac:dyDescent="0.25">
      <c r="A500" s="5" t="s">
        <v>356</v>
      </c>
      <c r="B500" s="6" t="s">
        <v>470</v>
      </c>
      <c r="C500" s="6" t="s">
        <v>40</v>
      </c>
      <c r="D500" s="6" t="s">
        <v>813</v>
      </c>
      <c r="E500" s="6" t="s">
        <v>2</v>
      </c>
    </row>
    <row r="501" spans="1:5" x14ac:dyDescent="0.25">
      <c r="A501" s="5" t="s">
        <v>356</v>
      </c>
      <c r="B501" s="6" t="s">
        <v>470</v>
      </c>
      <c r="C501" s="6" t="s">
        <v>814</v>
      </c>
      <c r="D501" s="6">
        <v>1650</v>
      </c>
      <c r="E501" s="6" t="s">
        <v>482</v>
      </c>
    </row>
    <row r="502" spans="1:5" x14ac:dyDescent="0.25">
      <c r="A502" s="5" t="s">
        <v>356</v>
      </c>
      <c r="B502" s="6" t="s">
        <v>470</v>
      </c>
      <c r="C502" s="6" t="s">
        <v>815</v>
      </c>
      <c r="D502" s="6">
        <v>2000</v>
      </c>
      <c r="E502" s="6" t="s">
        <v>517</v>
      </c>
    </row>
    <row r="503" spans="1:5" x14ac:dyDescent="0.25">
      <c r="A503" s="5" t="s">
        <v>356</v>
      </c>
      <c r="B503" s="6" t="s">
        <v>522</v>
      </c>
      <c r="C503" s="6" t="s">
        <v>816</v>
      </c>
      <c r="D503" s="6" t="s">
        <v>817</v>
      </c>
      <c r="E503" s="6" t="s">
        <v>818</v>
      </c>
    </row>
    <row r="504" spans="1:5" x14ac:dyDescent="0.25">
      <c r="A504" s="5" t="s">
        <v>356</v>
      </c>
      <c r="B504" s="6" t="s">
        <v>819</v>
      </c>
      <c r="C504" s="6" t="s">
        <v>820</v>
      </c>
      <c r="D504" s="6">
        <v>250</v>
      </c>
      <c r="E504" s="6" t="s">
        <v>821</v>
      </c>
    </row>
    <row r="505" spans="1:5" x14ac:dyDescent="0.25">
      <c r="A505" s="5" t="s">
        <v>356</v>
      </c>
      <c r="B505" s="6" t="s">
        <v>819</v>
      </c>
      <c r="C505" s="6" t="s">
        <v>822</v>
      </c>
      <c r="D505" s="6">
        <v>500</v>
      </c>
      <c r="E505" s="6" t="s">
        <v>482</v>
      </c>
    </row>
    <row r="506" spans="1:5" x14ac:dyDescent="0.25">
      <c r="A506" s="5" t="s">
        <v>363</v>
      </c>
      <c r="B506" s="6" t="s">
        <v>470</v>
      </c>
      <c r="C506" s="6" t="s">
        <v>40</v>
      </c>
      <c r="D506" s="6" t="s">
        <v>823</v>
      </c>
      <c r="E506" s="6" t="s">
        <v>2</v>
      </c>
    </row>
    <row r="507" spans="1:5" x14ac:dyDescent="0.25">
      <c r="A507" s="5" t="s">
        <v>363</v>
      </c>
      <c r="B507" s="6" t="s">
        <v>470</v>
      </c>
      <c r="C507" s="6" t="s">
        <v>824</v>
      </c>
      <c r="D507" s="6" t="s">
        <v>825</v>
      </c>
      <c r="E507" s="6" t="s">
        <v>482</v>
      </c>
    </row>
    <row r="508" spans="1:5" x14ac:dyDescent="0.25">
      <c r="A508" s="5" t="s">
        <v>363</v>
      </c>
      <c r="B508" s="6" t="s">
        <v>826</v>
      </c>
      <c r="C508" s="6" t="s">
        <v>827</v>
      </c>
      <c r="D508" s="6" t="s">
        <v>828</v>
      </c>
      <c r="E508" s="6" t="s">
        <v>829</v>
      </c>
    </row>
    <row r="509" spans="1:5" x14ac:dyDescent="0.25">
      <c r="A509" s="5" t="s">
        <v>363</v>
      </c>
      <c r="B509" s="6" t="s">
        <v>830</v>
      </c>
      <c r="C509" s="6" t="s">
        <v>831</v>
      </c>
      <c r="D509" s="6" t="s">
        <v>832</v>
      </c>
      <c r="E509" s="6" t="s">
        <v>2</v>
      </c>
    </row>
    <row r="510" spans="1:5" x14ac:dyDescent="0.25">
      <c r="A510" s="5" t="s">
        <v>363</v>
      </c>
      <c r="B510" s="6" t="s">
        <v>833</v>
      </c>
      <c r="C510" s="6" t="s">
        <v>834</v>
      </c>
      <c r="D510" s="6" t="s">
        <v>835</v>
      </c>
      <c r="E510" s="6" t="s">
        <v>509</v>
      </c>
    </row>
    <row r="511" spans="1:5" x14ac:dyDescent="0.25">
      <c r="A511" s="5" t="s">
        <v>363</v>
      </c>
      <c r="B511" s="6" t="s">
        <v>793</v>
      </c>
      <c r="C511" s="6" t="s">
        <v>836</v>
      </c>
      <c r="D511" s="6" t="s">
        <v>837</v>
      </c>
      <c r="E511" s="6" t="s">
        <v>2</v>
      </c>
    </row>
    <row r="512" spans="1:5" x14ac:dyDescent="0.25">
      <c r="A512" s="5" t="s">
        <v>371</v>
      </c>
      <c r="B512" s="6" t="s">
        <v>470</v>
      </c>
      <c r="C512" s="6" t="s">
        <v>40</v>
      </c>
      <c r="D512" s="6" t="s">
        <v>838</v>
      </c>
      <c r="E512" s="6" t="s">
        <v>2</v>
      </c>
    </row>
    <row r="513" spans="1:5" x14ac:dyDescent="0.25">
      <c r="A513" s="5" t="s">
        <v>371</v>
      </c>
      <c r="B513" s="6" t="s">
        <v>470</v>
      </c>
      <c r="C513" s="6" t="s">
        <v>839</v>
      </c>
      <c r="D513" s="6">
        <v>110</v>
      </c>
      <c r="E513" s="6" t="s">
        <v>500</v>
      </c>
    </row>
    <row r="514" spans="1:5" x14ac:dyDescent="0.25">
      <c r="A514" s="5" t="s">
        <v>371</v>
      </c>
      <c r="B514" s="6" t="s">
        <v>522</v>
      </c>
      <c r="C514" s="6" t="s">
        <v>840</v>
      </c>
      <c r="D514" s="6" t="s">
        <v>841</v>
      </c>
      <c r="E514" s="6" t="s">
        <v>842</v>
      </c>
    </row>
    <row r="515" spans="1:5" x14ac:dyDescent="0.25">
      <c r="A515" s="5" t="s">
        <v>371</v>
      </c>
      <c r="B515" s="6" t="s">
        <v>522</v>
      </c>
      <c r="C515" s="6" t="s">
        <v>843</v>
      </c>
      <c r="D515" s="6">
        <v>7.5</v>
      </c>
      <c r="E515" s="6" t="s">
        <v>494</v>
      </c>
    </row>
    <row r="516" spans="1:5" x14ac:dyDescent="0.25">
      <c r="A516" s="5" t="s">
        <v>371</v>
      </c>
      <c r="B516" s="6" t="s">
        <v>522</v>
      </c>
      <c r="C516" s="6" t="s">
        <v>844</v>
      </c>
      <c r="D516" s="6">
        <v>5.9</v>
      </c>
      <c r="E516" s="6" t="s">
        <v>845</v>
      </c>
    </row>
    <row r="517" spans="1:5" x14ac:dyDescent="0.25">
      <c r="A517" s="5" t="s">
        <v>371</v>
      </c>
      <c r="B517" s="6" t="s">
        <v>846</v>
      </c>
      <c r="C517" s="6" t="s">
        <v>847</v>
      </c>
      <c r="D517" s="6">
        <v>88</v>
      </c>
      <c r="E517" s="6" t="s">
        <v>500</v>
      </c>
    </row>
    <row r="518" spans="1:5" x14ac:dyDescent="0.25">
      <c r="A518" s="5" t="s">
        <v>371</v>
      </c>
      <c r="B518" s="6" t="s">
        <v>848</v>
      </c>
      <c r="C518" s="6" t="s">
        <v>849</v>
      </c>
      <c r="D518" s="6">
        <v>69</v>
      </c>
      <c r="E518" s="6" t="s">
        <v>850</v>
      </c>
    </row>
    <row r="519" spans="1:5" x14ac:dyDescent="0.25">
      <c r="A519" s="5" t="s">
        <v>379</v>
      </c>
      <c r="B519" s="6" t="s">
        <v>470</v>
      </c>
      <c r="C519" s="6" t="s">
        <v>40</v>
      </c>
      <c r="D519" s="6" t="s">
        <v>838</v>
      </c>
      <c r="E519" s="6" t="s">
        <v>2</v>
      </c>
    </row>
    <row r="520" spans="1:5" x14ac:dyDescent="0.25">
      <c r="A520" s="5" t="s">
        <v>379</v>
      </c>
      <c r="B520" s="6" t="s">
        <v>470</v>
      </c>
      <c r="C520" s="6" t="s">
        <v>839</v>
      </c>
      <c r="D520" s="6">
        <v>110</v>
      </c>
      <c r="E520" s="6" t="s">
        <v>500</v>
      </c>
    </row>
    <row r="521" spans="1:5" x14ac:dyDescent="0.25">
      <c r="A521" s="5" t="s">
        <v>379</v>
      </c>
      <c r="B521" s="6" t="s">
        <v>522</v>
      </c>
      <c r="C521" s="6" t="s">
        <v>840</v>
      </c>
      <c r="D521" s="6" t="s">
        <v>841</v>
      </c>
      <c r="E521" s="6" t="s">
        <v>842</v>
      </c>
    </row>
    <row r="522" spans="1:5" x14ac:dyDescent="0.25">
      <c r="A522" s="5" t="s">
        <v>379</v>
      </c>
      <c r="B522" s="6" t="s">
        <v>522</v>
      </c>
      <c r="C522" s="6" t="s">
        <v>843</v>
      </c>
      <c r="D522" s="6">
        <v>7.5</v>
      </c>
      <c r="E522" s="6" t="s">
        <v>494</v>
      </c>
    </row>
    <row r="523" spans="1:5" x14ac:dyDescent="0.25">
      <c r="A523" s="5" t="s">
        <v>379</v>
      </c>
      <c r="B523" s="6" t="s">
        <v>522</v>
      </c>
      <c r="C523" s="6" t="s">
        <v>844</v>
      </c>
      <c r="D523" s="6">
        <v>5.9</v>
      </c>
      <c r="E523" s="6" t="s">
        <v>845</v>
      </c>
    </row>
    <row r="524" spans="1:5" x14ac:dyDescent="0.25">
      <c r="A524" s="5" t="s">
        <v>379</v>
      </c>
      <c r="B524" s="6" t="s">
        <v>846</v>
      </c>
      <c r="C524" s="6" t="s">
        <v>847</v>
      </c>
      <c r="D524" s="6">
        <v>88</v>
      </c>
      <c r="E524" s="6" t="s">
        <v>500</v>
      </c>
    </row>
    <row r="525" spans="1:5" x14ac:dyDescent="0.25">
      <c r="A525" s="5" t="s">
        <v>379</v>
      </c>
      <c r="B525" s="6" t="s">
        <v>848</v>
      </c>
      <c r="C525" s="6" t="s">
        <v>849</v>
      </c>
      <c r="D525" s="6">
        <v>69</v>
      </c>
      <c r="E525" s="6" t="s">
        <v>850</v>
      </c>
    </row>
    <row r="526" spans="1:5" x14ac:dyDescent="0.25">
      <c r="A526" s="5" t="s">
        <v>383</v>
      </c>
      <c r="B526" s="6" t="s">
        <v>470</v>
      </c>
      <c r="C526" s="6" t="s">
        <v>851</v>
      </c>
      <c r="D526" s="6">
        <v>420</v>
      </c>
      <c r="E526" s="6" t="s">
        <v>500</v>
      </c>
    </row>
    <row r="527" spans="1:5" x14ac:dyDescent="0.25">
      <c r="A527" s="5" t="s">
        <v>383</v>
      </c>
      <c r="B527" s="6" t="s">
        <v>470</v>
      </c>
      <c r="C527" s="6" t="s">
        <v>852</v>
      </c>
      <c r="D527" s="6" t="s">
        <v>853</v>
      </c>
      <c r="E527" s="6" t="s">
        <v>2</v>
      </c>
    </row>
    <row r="528" spans="1:5" x14ac:dyDescent="0.25">
      <c r="A528" s="5" t="s">
        <v>383</v>
      </c>
      <c r="B528" s="6" t="s">
        <v>522</v>
      </c>
      <c r="C528" s="6" t="s">
        <v>854</v>
      </c>
      <c r="D528" s="6" t="s">
        <v>855</v>
      </c>
      <c r="E528" s="6" t="s">
        <v>509</v>
      </c>
    </row>
    <row r="529" spans="1:5" x14ac:dyDescent="0.25">
      <c r="A529" s="5" t="s">
        <v>383</v>
      </c>
      <c r="B529" s="6" t="s">
        <v>522</v>
      </c>
      <c r="C529" s="6" t="s">
        <v>856</v>
      </c>
      <c r="D529" s="6">
        <v>3.9</v>
      </c>
      <c r="E529" s="6" t="s">
        <v>2</v>
      </c>
    </row>
    <row r="530" spans="1:5" x14ac:dyDescent="0.25">
      <c r="A530" s="5" t="s">
        <v>383</v>
      </c>
      <c r="B530" s="6" t="s">
        <v>522</v>
      </c>
      <c r="C530" s="6" t="s">
        <v>857</v>
      </c>
      <c r="D530" s="6" t="s">
        <v>858</v>
      </c>
      <c r="E530" s="6" t="s">
        <v>2</v>
      </c>
    </row>
    <row r="531" spans="1:5" x14ac:dyDescent="0.25">
      <c r="A531" s="5" t="s">
        <v>383</v>
      </c>
      <c r="B531" s="6" t="s">
        <v>641</v>
      </c>
      <c r="C531" s="6" t="s">
        <v>859</v>
      </c>
      <c r="D531" s="6">
        <v>72</v>
      </c>
      <c r="E531" s="6" t="s">
        <v>860</v>
      </c>
    </row>
    <row r="532" spans="1:5" x14ac:dyDescent="0.25">
      <c r="A532" s="5" t="s">
        <v>390</v>
      </c>
      <c r="B532" s="6" t="s">
        <v>470</v>
      </c>
      <c r="C532" s="6" t="s">
        <v>861</v>
      </c>
      <c r="D532" s="6">
        <v>2500</v>
      </c>
      <c r="E532" s="6" t="s">
        <v>588</v>
      </c>
    </row>
    <row r="533" spans="1:5" x14ac:dyDescent="0.25">
      <c r="A533" s="5" t="s">
        <v>390</v>
      </c>
      <c r="B533" s="6" t="s">
        <v>470</v>
      </c>
      <c r="C533" s="6" t="s">
        <v>862</v>
      </c>
      <c r="D533" s="6" t="s">
        <v>863</v>
      </c>
      <c r="E533" s="6" t="s">
        <v>2</v>
      </c>
    </row>
    <row r="534" spans="1:5" x14ac:dyDescent="0.25">
      <c r="A534" s="5" t="s">
        <v>390</v>
      </c>
      <c r="B534" s="6" t="s">
        <v>470</v>
      </c>
      <c r="C534" s="6" t="s">
        <v>40</v>
      </c>
      <c r="D534" s="6" t="s">
        <v>864</v>
      </c>
      <c r="E534" s="6" t="s">
        <v>2</v>
      </c>
    </row>
    <row r="535" spans="1:5" x14ac:dyDescent="0.25">
      <c r="A535" s="5" t="s">
        <v>390</v>
      </c>
      <c r="B535" s="6" t="s">
        <v>865</v>
      </c>
      <c r="C535" s="6" t="s">
        <v>866</v>
      </c>
      <c r="D535" s="6" t="s">
        <v>867</v>
      </c>
      <c r="E535" s="6" t="s">
        <v>2</v>
      </c>
    </row>
    <row r="536" spans="1:5" x14ac:dyDescent="0.25">
      <c r="A536" s="5" t="s">
        <v>390</v>
      </c>
      <c r="B536" s="6" t="s">
        <v>868</v>
      </c>
      <c r="C536" s="6" t="s">
        <v>869</v>
      </c>
      <c r="D536" s="6" t="s">
        <v>870</v>
      </c>
      <c r="E536" s="6" t="s">
        <v>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CF0"/>
  </sheetPr>
  <dimension ref="A1:E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6" customWidth="1"/>
    <col min="3" max="4" width="8" customWidth="1"/>
    <col min="5" max="5" width="26" customWidth="1"/>
  </cols>
  <sheetData>
    <row r="1" ht="30" customHeight="1" spans="1:5" x14ac:dyDescent="0.25">
      <c r="A1" s="4" t="s">
        <v>871</v>
      </c>
      <c r="B1" s="4" t="s">
        <v>21</v>
      </c>
      <c r="C1" s="4" t="s">
        <v>872</v>
      </c>
      <c r="D1" s="4" t="s">
        <v>469</v>
      </c>
      <c r="E1" s="4" t="s">
        <v>873</v>
      </c>
    </row>
    <row r="2" spans="1:5" x14ac:dyDescent="0.25">
      <c r="A2" s="5" t="s">
        <v>457</v>
      </c>
      <c r="B2" s="5" t="s">
        <v>874</v>
      </c>
      <c r="C2" s="5">
        <v>1</v>
      </c>
      <c r="D2" s="5" t="s">
        <v>875</v>
      </c>
      <c r="E2" s="5" t="s">
        <v>271</v>
      </c>
    </row>
    <row r="3" spans="1:5" x14ac:dyDescent="0.25">
      <c r="A3" s="5" t="s">
        <v>442</v>
      </c>
      <c r="B3" s="5" t="s">
        <v>876</v>
      </c>
      <c r="C3" s="5">
        <v>1</v>
      </c>
      <c r="D3" s="5" t="s">
        <v>875</v>
      </c>
      <c r="E3" s="5" t="s">
        <v>119</v>
      </c>
    </row>
    <row r="4" spans="1:5" x14ac:dyDescent="0.25">
      <c r="A4" s="5" t="s">
        <v>427</v>
      </c>
      <c r="B4" s="5" t="s">
        <v>877</v>
      </c>
      <c r="C4" s="5">
        <v>1</v>
      </c>
      <c r="D4" s="5" t="s">
        <v>875</v>
      </c>
      <c r="E4" s="5" t="s">
        <v>50</v>
      </c>
    </row>
    <row r="5" spans="1:5" x14ac:dyDescent="0.25">
      <c r="A5" s="5" t="s">
        <v>433</v>
      </c>
      <c r="B5" s="5" t="s">
        <v>878</v>
      </c>
      <c r="C5" s="5">
        <v>1</v>
      </c>
      <c r="D5" s="5" t="s">
        <v>875</v>
      </c>
      <c r="E5" s="5" t="s">
        <v>50</v>
      </c>
    </row>
    <row r="6" spans="1:5" x14ac:dyDescent="0.25">
      <c r="A6" s="5" t="s">
        <v>436</v>
      </c>
      <c r="B6" s="5" t="s">
        <v>879</v>
      </c>
      <c r="C6" s="5">
        <v>1</v>
      </c>
      <c r="D6" s="5" t="s">
        <v>875</v>
      </c>
      <c r="E6" s="5" t="s">
        <v>50</v>
      </c>
    </row>
    <row r="7" spans="1:5" x14ac:dyDescent="0.25">
      <c r="A7" s="5" t="s">
        <v>880</v>
      </c>
      <c r="B7" s="5" t="s">
        <v>881</v>
      </c>
      <c r="C7" s="5">
        <v>1</v>
      </c>
      <c r="D7" s="5" t="s">
        <v>875</v>
      </c>
      <c r="E7" s="5" t="s">
        <v>119</v>
      </c>
    </row>
    <row r="8" spans="1:5" x14ac:dyDescent="0.25">
      <c r="A8" s="5" t="s">
        <v>882</v>
      </c>
      <c r="B8" s="5" t="s">
        <v>883</v>
      </c>
      <c r="C8" s="5">
        <v>4</v>
      </c>
      <c r="D8" s="5" t="s">
        <v>875</v>
      </c>
      <c r="E8" s="5" t="s">
        <v>884</v>
      </c>
    </row>
    <row r="9" spans="1:5" x14ac:dyDescent="0.25">
      <c r="A9" s="5" t="s">
        <v>885</v>
      </c>
      <c r="B9" s="5" t="s">
        <v>886</v>
      </c>
      <c r="C9" s="5">
        <v>12</v>
      </c>
      <c r="D9" s="5" t="s">
        <v>875</v>
      </c>
      <c r="E9" s="5" t="s">
        <v>884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CF0"/>
  </sheetPr>
  <dimension ref="A1:E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40" customWidth="1"/>
    <col min="4" max="4" width="26" customWidth="1"/>
    <col min="5" max="5" width="12" customWidth="1"/>
  </cols>
  <sheetData>
    <row r="1" ht="30" customHeight="1" spans="1:5" x14ac:dyDescent="0.25">
      <c r="A1" s="4" t="s">
        <v>887</v>
      </c>
      <c r="B1" s="4" t="s">
        <v>647</v>
      </c>
      <c r="C1" s="4" t="s">
        <v>888</v>
      </c>
      <c r="D1" s="4" t="s">
        <v>889</v>
      </c>
      <c r="E1" s="4" t="s">
        <v>890</v>
      </c>
    </row>
    <row r="2" spans="1:5" x14ac:dyDescent="0.25">
      <c r="A2" s="5">
        <v>10</v>
      </c>
      <c r="B2" s="6" t="s">
        <v>891</v>
      </c>
      <c r="C2" s="6" t="s">
        <v>892</v>
      </c>
      <c r="D2" s="6" t="s">
        <v>893</v>
      </c>
      <c r="E2" s="5" t="s">
        <v>894</v>
      </c>
    </row>
    <row r="3" spans="1:5" x14ac:dyDescent="0.25">
      <c r="A3" s="5">
        <v>20</v>
      </c>
      <c r="B3" s="6" t="s">
        <v>895</v>
      </c>
      <c r="C3" s="6" t="s">
        <v>896</v>
      </c>
      <c r="D3" s="6" t="s">
        <v>897</v>
      </c>
      <c r="E3" s="5" t="s">
        <v>898</v>
      </c>
    </row>
    <row r="4" spans="1:5" x14ac:dyDescent="0.25">
      <c r="A4" s="5">
        <v>30</v>
      </c>
      <c r="B4" s="6" t="s">
        <v>899</v>
      </c>
      <c r="C4" s="6" t="s">
        <v>900</v>
      </c>
      <c r="D4" s="6" t="s">
        <v>901</v>
      </c>
      <c r="E4" s="5" t="s">
        <v>898</v>
      </c>
    </row>
    <row r="5" spans="1:5" x14ac:dyDescent="0.25">
      <c r="A5" s="5">
        <v>40</v>
      </c>
      <c r="B5" s="6" t="s">
        <v>902</v>
      </c>
      <c r="C5" s="6" t="s">
        <v>162</v>
      </c>
      <c r="D5" s="6" t="s">
        <v>903</v>
      </c>
      <c r="E5" s="5" t="s">
        <v>898</v>
      </c>
    </row>
    <row r="6" spans="1:5" x14ac:dyDescent="0.25">
      <c r="A6" s="5">
        <v>45</v>
      </c>
      <c r="B6" s="6" t="s">
        <v>904</v>
      </c>
      <c r="C6" s="6" t="s">
        <v>175</v>
      </c>
      <c r="D6" s="6" t="s">
        <v>880</v>
      </c>
      <c r="E6" s="5" t="s">
        <v>898</v>
      </c>
    </row>
    <row r="7" spans="1:5" x14ac:dyDescent="0.25">
      <c r="A7" s="5">
        <v>50</v>
      </c>
      <c r="B7" s="6" t="s">
        <v>905</v>
      </c>
      <c r="C7" s="6" t="s">
        <v>906</v>
      </c>
      <c r="D7" s="6" t="s">
        <v>907</v>
      </c>
      <c r="E7" s="5" t="s">
        <v>908</v>
      </c>
    </row>
    <row r="8" spans="1:5" x14ac:dyDescent="0.25">
      <c r="A8" s="5">
        <v>60</v>
      </c>
      <c r="B8" s="6" t="s">
        <v>909</v>
      </c>
      <c r="C8" s="6" t="s">
        <v>910</v>
      </c>
      <c r="D8" s="6" t="s">
        <v>911</v>
      </c>
      <c r="E8" s="5" t="s">
        <v>908</v>
      </c>
    </row>
    <row r="9" spans="1:5" x14ac:dyDescent="0.25">
      <c r="A9" s="5">
        <v>70</v>
      </c>
      <c r="B9" s="6" t="s">
        <v>912</v>
      </c>
      <c r="C9" s="6" t="s">
        <v>913</v>
      </c>
      <c r="D9" s="6" t="s">
        <v>911</v>
      </c>
      <c r="E9" s="5" t="s">
        <v>908</v>
      </c>
    </row>
    <row r="10" spans="1:5" x14ac:dyDescent="0.25">
      <c r="A10" s="5">
        <v>80</v>
      </c>
      <c r="B10" s="6" t="s">
        <v>914</v>
      </c>
      <c r="C10" s="6" t="s">
        <v>915</v>
      </c>
      <c r="D10" s="6" t="s">
        <v>916</v>
      </c>
      <c r="E10" s="5" t="s">
        <v>917</v>
      </c>
    </row>
    <row r="11" spans="1:5" x14ac:dyDescent="0.25">
      <c r="A11" s="5">
        <v>90</v>
      </c>
      <c r="B11" s="6" t="s">
        <v>918</v>
      </c>
      <c r="C11" s="6" t="s">
        <v>323</v>
      </c>
      <c r="D11" s="6" t="s">
        <v>919</v>
      </c>
      <c r="E11" s="5" t="s">
        <v>917</v>
      </c>
    </row>
    <row r="12" spans="1:5" x14ac:dyDescent="0.25">
      <c r="A12" s="5">
        <v>100</v>
      </c>
      <c r="B12" s="6" t="s">
        <v>920</v>
      </c>
      <c r="C12" s="6" t="s">
        <v>921</v>
      </c>
      <c r="D12" s="6" t="s">
        <v>922</v>
      </c>
      <c r="E12" s="5" t="s">
        <v>917</v>
      </c>
    </row>
    <row r="13" spans="1:5" x14ac:dyDescent="0.25">
      <c r="A13" s="5">
        <v>110</v>
      </c>
      <c r="B13" s="6" t="s">
        <v>923</v>
      </c>
      <c r="C13" s="6" t="s">
        <v>924</v>
      </c>
      <c r="D13" s="6" t="s">
        <v>925</v>
      </c>
      <c r="E13" s="5" t="s">
        <v>926</v>
      </c>
    </row>
    <row r="14" spans="1:5" x14ac:dyDescent="0.25">
      <c r="A14" s="5">
        <v>120</v>
      </c>
      <c r="B14" s="6" t="s">
        <v>927</v>
      </c>
      <c r="C14" s="6" t="s">
        <v>249</v>
      </c>
      <c r="D14" s="6" t="s">
        <v>928</v>
      </c>
      <c r="E14" s="5" t="s">
        <v>926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4545"/>
  </sheetPr>
  <dimension ref="A1:D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10" customWidth="1"/>
    <col min="4" max="4" width="56" customWidth="1"/>
  </cols>
  <sheetData>
    <row r="1" ht="30" customHeight="1" spans="1:4" x14ac:dyDescent="0.25">
      <c r="A1" s="4" t="s">
        <v>929</v>
      </c>
      <c r="B1" s="4" t="s">
        <v>930</v>
      </c>
      <c r="C1" s="4" t="s">
        <v>931</v>
      </c>
      <c r="D1" s="4" t="s">
        <v>932</v>
      </c>
    </row>
    <row r="2" spans="1:4" x14ac:dyDescent="0.25">
      <c r="A2" s="5" t="s">
        <v>933</v>
      </c>
      <c r="B2" s="5" t="s">
        <v>51</v>
      </c>
      <c r="C2" s="6" t="s">
        <v>934</v>
      </c>
      <c r="D2" s="6" t="s">
        <v>935</v>
      </c>
    </row>
    <row r="3" spans="1:4" x14ac:dyDescent="0.25">
      <c r="A3" s="5" t="s">
        <v>936</v>
      </c>
      <c r="B3" s="5" t="s">
        <v>51</v>
      </c>
      <c r="C3" s="6" t="s">
        <v>937</v>
      </c>
      <c r="D3" s="6" t="s">
        <v>938</v>
      </c>
    </row>
    <row r="4" spans="1:4" x14ac:dyDescent="0.25">
      <c r="A4" s="5" t="s">
        <v>939</v>
      </c>
      <c r="B4" s="5" t="s">
        <v>51</v>
      </c>
      <c r="C4" s="6" t="s">
        <v>934</v>
      </c>
      <c r="D4" s="6" t="s">
        <v>940</v>
      </c>
    </row>
    <row r="5" spans="1:4" x14ac:dyDescent="0.25">
      <c r="A5" s="5" t="s">
        <v>941</v>
      </c>
      <c r="B5" s="5" t="s">
        <v>59</v>
      </c>
      <c r="C5" s="6" t="s">
        <v>937</v>
      </c>
      <c r="D5" s="6" t="s">
        <v>942</v>
      </c>
    </row>
    <row r="6" spans="1:4" x14ac:dyDescent="0.25">
      <c r="A6" s="5" t="s">
        <v>943</v>
      </c>
      <c r="B6" s="5" t="s">
        <v>120</v>
      </c>
      <c r="C6" s="6" t="s">
        <v>934</v>
      </c>
      <c r="D6" s="6" t="s">
        <v>944</v>
      </c>
    </row>
    <row r="7" spans="1:4" x14ac:dyDescent="0.25">
      <c r="A7" s="5" t="s">
        <v>945</v>
      </c>
      <c r="B7" s="5" t="s">
        <v>120</v>
      </c>
      <c r="C7" s="6" t="s">
        <v>937</v>
      </c>
      <c r="D7" s="6" t="s">
        <v>946</v>
      </c>
    </row>
    <row r="8" spans="1:4" x14ac:dyDescent="0.25">
      <c r="A8" s="5" t="s">
        <v>947</v>
      </c>
      <c r="B8" s="5" t="s">
        <v>127</v>
      </c>
      <c r="C8" s="6" t="s">
        <v>937</v>
      </c>
      <c r="D8" s="6" t="s">
        <v>948</v>
      </c>
    </row>
    <row r="9" spans="1:4" x14ac:dyDescent="0.25">
      <c r="A9" s="5" t="s">
        <v>949</v>
      </c>
      <c r="B9" s="5" t="s">
        <v>143</v>
      </c>
      <c r="C9" s="6" t="s">
        <v>934</v>
      </c>
      <c r="D9" s="6" t="s">
        <v>950</v>
      </c>
    </row>
    <row r="10" spans="1:4" x14ac:dyDescent="0.25">
      <c r="A10" s="5" t="s">
        <v>951</v>
      </c>
      <c r="B10" s="5" t="s">
        <v>143</v>
      </c>
      <c r="C10" s="6" t="s">
        <v>937</v>
      </c>
      <c r="D10" s="6" t="s">
        <v>952</v>
      </c>
    </row>
    <row r="11" spans="1:4" x14ac:dyDescent="0.25">
      <c r="A11" s="5" t="s">
        <v>953</v>
      </c>
      <c r="B11" s="5" t="s">
        <v>165</v>
      </c>
      <c r="C11" s="6" t="s">
        <v>954</v>
      </c>
      <c r="D11" s="6" t="s">
        <v>955</v>
      </c>
    </row>
    <row r="12" spans="1:4" x14ac:dyDescent="0.25">
      <c r="A12" s="5" t="s">
        <v>956</v>
      </c>
      <c r="B12" s="5" t="s">
        <v>177</v>
      </c>
      <c r="C12" s="6" t="s">
        <v>934</v>
      </c>
      <c r="D12" s="6" t="s">
        <v>957</v>
      </c>
    </row>
    <row r="13" spans="1:4" x14ac:dyDescent="0.25">
      <c r="A13" s="5" t="s">
        <v>958</v>
      </c>
      <c r="B13" s="5" t="s">
        <v>150</v>
      </c>
      <c r="C13" s="6" t="s">
        <v>934</v>
      </c>
      <c r="D13" s="6" t="s">
        <v>959</v>
      </c>
    </row>
    <row r="14" spans="1:4" x14ac:dyDescent="0.25">
      <c r="A14" s="5" t="s">
        <v>960</v>
      </c>
      <c r="B14" s="5" t="s">
        <v>150</v>
      </c>
      <c r="C14" s="6" t="s">
        <v>937</v>
      </c>
      <c r="D14" s="6" t="s">
        <v>961</v>
      </c>
    </row>
    <row r="15" spans="1:4" x14ac:dyDescent="0.25">
      <c r="A15" s="5" t="s">
        <v>962</v>
      </c>
      <c r="B15" s="5" t="s">
        <v>305</v>
      </c>
      <c r="C15" s="6" t="s">
        <v>937</v>
      </c>
      <c r="D15" s="6" t="s">
        <v>963</v>
      </c>
    </row>
    <row r="16" spans="1:4" x14ac:dyDescent="0.25">
      <c r="A16" s="5" t="s">
        <v>964</v>
      </c>
      <c r="B16" s="5" t="s">
        <v>67</v>
      </c>
      <c r="C16" s="6" t="s">
        <v>937</v>
      </c>
      <c r="D16" s="6" t="s">
        <v>965</v>
      </c>
    </row>
    <row r="17" spans="1:4" x14ac:dyDescent="0.25">
      <c r="A17" s="5" t="s">
        <v>966</v>
      </c>
      <c r="B17" s="5" t="s">
        <v>272</v>
      </c>
      <c r="C17" s="6" t="s">
        <v>937</v>
      </c>
      <c r="D17" s="6" t="s">
        <v>967</v>
      </c>
    </row>
    <row r="18" spans="1:4" x14ac:dyDescent="0.25">
      <c r="A18" s="5" t="s">
        <v>968</v>
      </c>
      <c r="B18" s="5" t="s">
        <v>206</v>
      </c>
      <c r="C18" s="6" t="s">
        <v>934</v>
      </c>
      <c r="D18" s="6" t="s">
        <v>969</v>
      </c>
    </row>
    <row r="19" spans="1:4" x14ac:dyDescent="0.25">
      <c r="A19" s="5" t="s">
        <v>970</v>
      </c>
      <c r="B19" s="5" t="s">
        <v>206</v>
      </c>
      <c r="C19" s="6" t="s">
        <v>937</v>
      </c>
      <c r="D19" s="6" t="s">
        <v>971</v>
      </c>
    </row>
    <row r="20" spans="1:4" x14ac:dyDescent="0.25">
      <c r="A20" s="5" t="s">
        <v>972</v>
      </c>
      <c r="B20" s="5" t="s">
        <v>228</v>
      </c>
      <c r="C20" s="6" t="s">
        <v>937</v>
      </c>
      <c r="D20" s="6" t="s">
        <v>973</v>
      </c>
    </row>
    <row r="21" spans="1:4" x14ac:dyDescent="0.25">
      <c r="A21" s="5" t="s">
        <v>974</v>
      </c>
      <c r="B21" s="5" t="s">
        <v>228</v>
      </c>
      <c r="C21" s="6" t="s">
        <v>934</v>
      </c>
      <c r="D21" s="6" t="s">
        <v>975</v>
      </c>
    </row>
    <row r="22" spans="1:4" x14ac:dyDescent="0.25">
      <c r="A22" s="5" t="s">
        <v>976</v>
      </c>
      <c r="B22" s="5" t="s">
        <v>251</v>
      </c>
      <c r="C22" s="6" t="s">
        <v>937</v>
      </c>
      <c r="D22" s="6" t="s">
        <v>977</v>
      </c>
    </row>
    <row r="23" spans="1:4" x14ac:dyDescent="0.25">
      <c r="A23" s="5" t="s">
        <v>978</v>
      </c>
      <c r="B23" s="5" t="s">
        <v>288</v>
      </c>
      <c r="C23" s="6" t="s">
        <v>937</v>
      </c>
      <c r="D23" s="6" t="s">
        <v>979</v>
      </c>
    </row>
    <row r="24" spans="1:4" x14ac:dyDescent="0.25">
      <c r="A24" s="5" t="s">
        <v>980</v>
      </c>
      <c r="B24" s="5" t="s">
        <v>288</v>
      </c>
      <c r="C24" s="6" t="s">
        <v>934</v>
      </c>
      <c r="D24" s="6" t="s">
        <v>981</v>
      </c>
    </row>
    <row r="25" spans="1:4" x14ac:dyDescent="0.25">
      <c r="A25" s="5" t="s">
        <v>982</v>
      </c>
      <c r="B25" s="5" t="s">
        <v>288</v>
      </c>
      <c r="C25" s="6" t="s">
        <v>937</v>
      </c>
      <c r="D25" s="6" t="s">
        <v>983</v>
      </c>
    </row>
    <row r="26" spans="1:4" x14ac:dyDescent="0.25">
      <c r="A26" s="5" t="s">
        <v>984</v>
      </c>
      <c r="B26" s="5" t="s">
        <v>358</v>
      </c>
      <c r="C26" s="6" t="s">
        <v>937</v>
      </c>
      <c r="D26" s="6" t="s">
        <v>985</v>
      </c>
    </row>
    <row r="27" spans="1:4" x14ac:dyDescent="0.25">
      <c r="A27" s="5" t="s">
        <v>986</v>
      </c>
      <c r="B27" s="5" t="s">
        <v>987</v>
      </c>
      <c r="C27" s="6" t="s">
        <v>937</v>
      </c>
      <c r="D27" s="6" t="s">
        <v>988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Settings</vt:lpstr>
      <vt:lpstr>Equipment</vt:lpstr>
      <vt:lpstr>MES</vt:lpstr>
      <vt:lpstr>Specs</vt:lpstr>
      <vt:lpstr>Product BOM</vt:lpstr>
      <vt:lpstr>Product Routing</vt:lpstr>
      <vt:lpstr>Alarm Catalogue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Digital Twin</dc:creator>
  <dc:title/>
  <dc:subject/>
  <dc:description/>
  <cp:keywords/>
  <cp:category/>
  <cp:lastModifiedBy>Unknown</cp:lastModifiedBy>
  <dcterms:created xsi:type="dcterms:W3CDTF">2026-09-25T10:49:55Z</dcterms:created>
  <dcterms:modified xsi:type="dcterms:W3CDTF">2026-09-25T10:49:55Z</dcterms:modified>
</cp:coreProperties>
</file>